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517dc49250f45e7e/Desktop/SCTP -APC Data Analytics/PACE-SCTP-DA-02-Analysing and Interpreting Data (M3)/Capstone Project/"/>
    </mc:Choice>
  </mc:AlternateContent>
  <xr:revisionPtr revIDLastSave="0" documentId="8_{4517A31B-084E-4186-98E0-8A4A6972EC21}" xr6:coauthVersionLast="47" xr6:coauthVersionMax="47" xr10:uidLastSave="{00000000-0000-0000-0000-000000000000}"/>
  <bookViews>
    <workbookView xWindow="-108" yWindow="-108" windowWidth="23256" windowHeight="12456" xr2:uid="{BFBA7AD2-3005-492E-848C-E5676758C778}"/>
  </bookViews>
  <sheets>
    <sheet name="Benchmarking (STARBUCKS)" sheetId="1" r:id="rId1"/>
  </sheets>
  <externalReferences>
    <externalReference r:id="rId2"/>
  </externalReferences>
  <definedNames>
    <definedName name="Slicer_COMPANY1">#N/A</definedName>
    <definedName name="Slicer_SEGMENT3">#N/A</definedName>
    <definedName name="Slicer_SEGMENT5">#N/A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D324" i="1" l="1"/>
  <c r="BD323" i="1"/>
  <c r="BD321" i="1"/>
  <c r="BD320" i="1"/>
  <c r="BD296" i="1"/>
  <c r="BD295" i="1"/>
  <c r="BD293" i="1"/>
  <c r="BD292" i="1"/>
  <c r="BF281" i="1"/>
  <c r="BF277" i="1"/>
  <c r="BF273" i="1"/>
  <c r="BE273" i="1"/>
  <c r="BF271" i="1"/>
  <c r="BE271" i="1"/>
  <c r="BF268" i="1"/>
  <c r="BF264" i="1"/>
  <c r="BF263" i="1"/>
  <c r="BF260" i="1"/>
  <c r="BF257" i="1"/>
  <c r="BF256" i="1"/>
  <c r="BF255" i="1"/>
  <c r="BF252" i="1"/>
  <c r="BF249" i="1"/>
  <c r="BF247" i="1"/>
  <c r="BF239" i="1"/>
  <c r="BF307" i="1" s="1"/>
  <c r="BF210" i="1"/>
  <c r="BD210" i="1"/>
  <c r="BE210" i="1" s="1"/>
  <c r="BC210" i="1"/>
  <c r="BF207" i="1"/>
  <c r="BF283" i="1" s="1"/>
  <c r="BE207" i="1"/>
  <c r="BE283" i="1" s="1"/>
  <c r="BD207" i="1"/>
  <c r="BC207" i="1"/>
  <c r="BF204" i="1"/>
  <c r="BF282" i="1" s="1"/>
  <c r="BD204" i="1"/>
  <c r="BE204" i="1" s="1"/>
  <c r="BE282" i="1" s="1"/>
  <c r="BC204" i="1"/>
  <c r="BF201" i="1"/>
  <c r="BD201" i="1"/>
  <c r="BE201" i="1" s="1"/>
  <c r="BE281" i="1" s="1"/>
  <c r="BC201" i="1"/>
  <c r="BF198" i="1"/>
  <c r="BF280" i="1" s="1"/>
  <c r="BD198" i="1"/>
  <c r="BE198" i="1" s="1"/>
  <c r="BE280" i="1" s="1"/>
  <c r="BC198" i="1"/>
  <c r="BF195" i="1"/>
  <c r="BF279" i="1" s="1"/>
  <c r="BE195" i="1"/>
  <c r="BE279" i="1" s="1"/>
  <c r="BD195" i="1"/>
  <c r="BC195" i="1"/>
  <c r="BF192" i="1"/>
  <c r="BF278" i="1" s="1"/>
  <c r="BD192" i="1"/>
  <c r="BE192" i="1" s="1"/>
  <c r="BE278" i="1" s="1"/>
  <c r="BC192" i="1"/>
  <c r="BF189" i="1"/>
  <c r="BD189" i="1"/>
  <c r="BE189" i="1" s="1"/>
  <c r="BE277" i="1" s="1"/>
  <c r="BC189" i="1"/>
  <c r="BF186" i="1"/>
  <c r="BF276" i="1" s="1"/>
  <c r="BD186" i="1"/>
  <c r="BE186" i="1" s="1"/>
  <c r="BE276" i="1" s="1"/>
  <c r="BC186" i="1"/>
  <c r="BF183" i="1"/>
  <c r="BF275" i="1" s="1"/>
  <c r="BE183" i="1"/>
  <c r="BE275" i="1" s="1"/>
  <c r="BD183" i="1"/>
  <c r="BC183" i="1"/>
  <c r="AC183" i="1"/>
  <c r="AU177" i="1"/>
  <c r="AS177" i="1"/>
  <c r="AR177" i="1"/>
  <c r="AQ177" i="1"/>
  <c r="AP177" i="1"/>
  <c r="AO177" i="1"/>
  <c r="AN177" i="1"/>
  <c r="AM177" i="1"/>
  <c r="AL177" i="1"/>
  <c r="AK177" i="1"/>
  <c r="AJ177" i="1"/>
  <c r="AI177" i="1"/>
  <c r="AH177" i="1"/>
  <c r="AG177" i="1"/>
  <c r="AF177" i="1"/>
  <c r="AD177" i="1"/>
  <c r="AC177" i="1"/>
  <c r="AB177" i="1"/>
  <c r="Z177" i="1"/>
  <c r="Y177" i="1"/>
  <c r="X177" i="1"/>
  <c r="V177" i="1"/>
  <c r="U177" i="1"/>
  <c r="T177" i="1"/>
  <c r="S177" i="1"/>
  <c r="R177" i="1"/>
  <c r="Q177" i="1"/>
  <c r="P177" i="1"/>
  <c r="J177" i="1"/>
  <c r="I177" i="1"/>
  <c r="H177" i="1"/>
  <c r="G177" i="1"/>
  <c r="F177" i="1"/>
  <c r="E177" i="1"/>
  <c r="D177" i="1"/>
  <c r="C177" i="1"/>
  <c r="BF176" i="1"/>
  <c r="BF274" i="1" s="1"/>
  <c r="BC176" i="1"/>
  <c r="AT176" i="1"/>
  <c r="AT177" i="1" s="1"/>
  <c r="AS176" i="1"/>
  <c r="AI176" i="1"/>
  <c r="AE176" i="1"/>
  <c r="AA176" i="1"/>
  <c r="W176" i="1"/>
  <c r="S176" i="1"/>
  <c r="BF175" i="1"/>
  <c r="BE175" i="1"/>
  <c r="BD175" i="1"/>
  <c r="BC175" i="1"/>
  <c r="AI175" i="1"/>
  <c r="AE175" i="1"/>
  <c r="AA175" i="1"/>
  <c r="W175" i="1"/>
  <c r="W177" i="1" s="1"/>
  <c r="S175" i="1"/>
  <c r="BF174" i="1"/>
  <c r="BF272" i="1" s="1"/>
  <c r="BD174" i="1"/>
  <c r="BE174" i="1" s="1"/>
  <c r="BE272" i="1" s="1"/>
  <c r="BC174" i="1"/>
  <c r="AI174" i="1"/>
  <c r="AE174" i="1"/>
  <c r="AE177" i="1" s="1"/>
  <c r="AA174" i="1"/>
  <c r="AA177" i="1" s="1"/>
  <c r="W174" i="1"/>
  <c r="S174" i="1"/>
  <c r="AU171" i="1"/>
  <c r="AT171" i="1"/>
  <c r="AS171" i="1"/>
  <c r="AR171" i="1"/>
  <c r="AQ171" i="1"/>
  <c r="AP171" i="1"/>
  <c r="AO171" i="1"/>
  <c r="AN171" i="1"/>
  <c r="AM171" i="1"/>
  <c r="AL171" i="1"/>
  <c r="AK171" i="1"/>
  <c r="AJ171" i="1"/>
  <c r="AI171" i="1"/>
  <c r="AH171" i="1"/>
  <c r="AG171" i="1"/>
  <c r="AF171" i="1"/>
  <c r="AE171" i="1"/>
  <c r="AD171" i="1"/>
  <c r="AC171" i="1"/>
  <c r="AB171" i="1"/>
  <c r="AA171" i="1"/>
  <c r="Z171" i="1"/>
  <c r="Y171" i="1"/>
  <c r="X171" i="1"/>
  <c r="W171" i="1"/>
  <c r="V171" i="1"/>
  <c r="U171" i="1"/>
  <c r="T171" i="1"/>
  <c r="S171" i="1"/>
  <c r="R171" i="1"/>
  <c r="Q171" i="1"/>
  <c r="P171" i="1"/>
  <c r="J171" i="1"/>
  <c r="BF170" i="1"/>
  <c r="BE170" i="1"/>
  <c r="BD170" i="1"/>
  <c r="BC170" i="1"/>
  <c r="BF169" i="1"/>
  <c r="BF270" i="1" s="1"/>
  <c r="BD169" i="1"/>
  <c r="BE169" i="1" s="1"/>
  <c r="BE270" i="1" s="1"/>
  <c r="BC169" i="1"/>
  <c r="BF168" i="1"/>
  <c r="BF269" i="1" s="1"/>
  <c r="BD168" i="1"/>
  <c r="BC168" i="1"/>
  <c r="BE168" i="1" s="1"/>
  <c r="BE269" i="1" s="1"/>
  <c r="AU165" i="1"/>
  <c r="AS165" i="1"/>
  <c r="AR165" i="1"/>
  <c r="AQ165" i="1"/>
  <c r="AP165" i="1"/>
  <c r="AO165" i="1"/>
  <c r="AN165" i="1"/>
  <c r="AM165" i="1"/>
  <c r="AL165" i="1"/>
  <c r="AK165" i="1"/>
  <c r="AJ165" i="1"/>
  <c r="AH165" i="1"/>
  <c r="AG165" i="1"/>
  <c r="AF165" i="1"/>
  <c r="AD165" i="1"/>
  <c r="AC165" i="1"/>
  <c r="AB165" i="1"/>
  <c r="Z165" i="1"/>
  <c r="Y165" i="1"/>
  <c r="X165" i="1"/>
  <c r="V165" i="1"/>
  <c r="U165" i="1"/>
  <c r="T165" i="1"/>
  <c r="R165" i="1"/>
  <c r="Q165" i="1"/>
  <c r="P165" i="1"/>
  <c r="J165" i="1"/>
  <c r="H165" i="1"/>
  <c r="G165" i="1"/>
  <c r="F165" i="1"/>
  <c r="E165" i="1"/>
  <c r="D165" i="1"/>
  <c r="C165" i="1"/>
  <c r="BF164" i="1"/>
  <c r="BD164" i="1"/>
  <c r="BE164" i="1" s="1"/>
  <c r="BE268" i="1" s="1"/>
  <c r="BC164" i="1"/>
  <c r="AT164" i="1"/>
  <c r="AT165" i="1" s="1"/>
  <c r="AI164" i="1"/>
  <c r="AE164" i="1"/>
  <c r="AA164" i="1"/>
  <c r="W164" i="1"/>
  <c r="S164" i="1"/>
  <c r="I164" i="1"/>
  <c r="I165" i="1" s="1"/>
  <c r="BF163" i="1"/>
  <c r="BF267" i="1" s="1"/>
  <c r="BD163" i="1"/>
  <c r="BE163" i="1" s="1"/>
  <c r="BE267" i="1" s="1"/>
  <c r="BC163" i="1"/>
  <c r="AI163" i="1"/>
  <c r="AE163" i="1"/>
  <c r="AA163" i="1"/>
  <c r="W163" i="1"/>
  <c r="W165" i="1" s="1"/>
  <c r="S163" i="1"/>
  <c r="BF162" i="1"/>
  <c r="BF266" i="1" s="1"/>
  <c r="BD162" i="1"/>
  <c r="BC162" i="1"/>
  <c r="BE162" i="1" s="1"/>
  <c r="BE266" i="1" s="1"/>
  <c r="AI162" i="1"/>
  <c r="AE162" i="1"/>
  <c r="AA162" i="1"/>
  <c r="W162" i="1"/>
  <c r="S162" i="1"/>
  <c r="BF161" i="1"/>
  <c r="BF265" i="1" s="1"/>
  <c r="BD161" i="1"/>
  <c r="BE161" i="1" s="1"/>
  <c r="BE265" i="1" s="1"/>
  <c r="BC161" i="1"/>
  <c r="AI161" i="1"/>
  <c r="AI165" i="1" s="1"/>
  <c r="AE161" i="1"/>
  <c r="AE165" i="1" s="1"/>
  <c r="AA161" i="1"/>
  <c r="AA165" i="1" s="1"/>
  <c r="W161" i="1"/>
  <c r="S161" i="1"/>
  <c r="S165" i="1" s="1"/>
  <c r="AU152" i="1"/>
  <c r="AT152" i="1"/>
  <c r="AS152" i="1"/>
  <c r="AR152" i="1"/>
  <c r="AQ152" i="1"/>
  <c r="AP152" i="1"/>
  <c r="AO152" i="1"/>
  <c r="AN152" i="1"/>
  <c r="AL152" i="1"/>
  <c r="AK152" i="1"/>
  <c r="AJ152" i="1"/>
  <c r="AF152" i="1"/>
  <c r="AD152" i="1"/>
  <c r="AC152" i="1"/>
  <c r="V152" i="1"/>
  <c r="U152" i="1"/>
  <c r="T152" i="1"/>
  <c r="P152" i="1"/>
  <c r="AU151" i="1"/>
  <c r="AT151" i="1"/>
  <c r="AS151" i="1"/>
  <c r="AR151" i="1"/>
  <c r="AQ151" i="1"/>
  <c r="AP151" i="1"/>
  <c r="AO151" i="1"/>
  <c r="AN151" i="1"/>
  <c r="AL151" i="1"/>
  <c r="AK151" i="1"/>
  <c r="AJ151" i="1"/>
  <c r="AI151" i="1"/>
  <c r="AH151" i="1"/>
  <c r="AG151" i="1"/>
  <c r="AF151" i="1"/>
  <c r="AD151" i="1"/>
  <c r="AC151" i="1"/>
  <c r="AB151" i="1"/>
  <c r="Z151" i="1"/>
  <c r="Y151" i="1"/>
  <c r="X151" i="1"/>
  <c r="V151" i="1"/>
  <c r="U151" i="1"/>
  <c r="T151" i="1"/>
  <c r="S151" i="1"/>
  <c r="R151" i="1"/>
  <c r="Q151" i="1"/>
  <c r="P151" i="1"/>
  <c r="AM150" i="1"/>
  <c r="AI150" i="1"/>
  <c r="AE150" i="1"/>
  <c r="AE151" i="1" s="1"/>
  <c r="AA150" i="1"/>
  <c r="W150" i="1"/>
  <c r="S150" i="1"/>
  <c r="AM149" i="1"/>
  <c r="AI149" i="1"/>
  <c r="AE149" i="1"/>
  <c r="AA149" i="1"/>
  <c r="W149" i="1"/>
  <c r="S149" i="1"/>
  <c r="AM148" i="1"/>
  <c r="AM152" i="1" s="1"/>
  <c r="AL148" i="1"/>
  <c r="AK148" i="1"/>
  <c r="AJ148" i="1"/>
  <c r="AH148" i="1"/>
  <c r="AH152" i="1" s="1"/>
  <c r="AG148" i="1"/>
  <c r="AG152" i="1" s="1"/>
  <c r="AF148" i="1"/>
  <c r="AD148" i="1"/>
  <c r="AC148" i="1"/>
  <c r="AB148" i="1"/>
  <c r="AB152" i="1" s="1"/>
  <c r="Z148" i="1"/>
  <c r="Z152" i="1" s="1"/>
  <c r="Y148" i="1"/>
  <c r="Y152" i="1" s="1"/>
  <c r="X148" i="1"/>
  <c r="X152" i="1" s="1"/>
  <c r="W148" i="1"/>
  <c r="W152" i="1" s="1"/>
  <c r="V148" i="1"/>
  <c r="U148" i="1"/>
  <c r="T148" i="1"/>
  <c r="R148" i="1"/>
  <c r="R152" i="1" s="1"/>
  <c r="Q148" i="1"/>
  <c r="Q152" i="1" s="1"/>
  <c r="P148" i="1"/>
  <c r="D148" i="1"/>
  <c r="C148" i="1"/>
  <c r="BF147" i="1"/>
  <c r="BE147" i="1"/>
  <c r="BE264" i="1" s="1"/>
  <c r="BD147" i="1"/>
  <c r="BC147" i="1"/>
  <c r="AM147" i="1"/>
  <c r="AM151" i="1" s="1"/>
  <c r="AI147" i="1"/>
  <c r="AE147" i="1"/>
  <c r="AA147" i="1"/>
  <c r="AA151" i="1" s="1"/>
  <c r="W147" i="1"/>
  <c r="W151" i="1" s="1"/>
  <c r="S147" i="1"/>
  <c r="AU143" i="1"/>
  <c r="AT143" i="1"/>
  <c r="AS143" i="1"/>
  <c r="AR143" i="1"/>
  <c r="AQ143" i="1"/>
  <c r="AP143" i="1"/>
  <c r="AO143" i="1"/>
  <c r="AN143" i="1"/>
  <c r="AM143" i="1"/>
  <c r="AL143" i="1"/>
  <c r="AK143" i="1"/>
  <c r="AJ143" i="1"/>
  <c r="AI143" i="1"/>
  <c r="AH143" i="1"/>
  <c r="AG143" i="1"/>
  <c r="AF143" i="1"/>
  <c r="AE143" i="1"/>
  <c r="AD143" i="1"/>
  <c r="AC143" i="1"/>
  <c r="AB143" i="1"/>
  <c r="AA143" i="1"/>
  <c r="Z143" i="1"/>
  <c r="Y143" i="1"/>
  <c r="X143" i="1"/>
  <c r="W143" i="1"/>
  <c r="V143" i="1"/>
  <c r="U143" i="1"/>
  <c r="T143" i="1"/>
  <c r="S143" i="1"/>
  <c r="R143" i="1"/>
  <c r="Q143" i="1"/>
  <c r="P143" i="1"/>
  <c r="I143" i="1"/>
  <c r="H143" i="1"/>
  <c r="G143" i="1"/>
  <c r="F143" i="1"/>
  <c r="E143" i="1"/>
  <c r="D143" i="1"/>
  <c r="C143" i="1"/>
  <c r="BF142" i="1"/>
  <c r="BD142" i="1"/>
  <c r="BE142" i="1" s="1"/>
  <c r="BE263" i="1" s="1"/>
  <c r="BC142" i="1"/>
  <c r="J142" i="1"/>
  <c r="BF141" i="1"/>
  <c r="BF262" i="1" s="1"/>
  <c r="BD141" i="1"/>
  <c r="BE141" i="1" s="1"/>
  <c r="BE262" i="1" s="1"/>
  <c r="BC141" i="1"/>
  <c r="J141" i="1"/>
  <c r="J143" i="1" s="1"/>
  <c r="AU131" i="1"/>
  <c r="AT131" i="1"/>
  <c r="AS131" i="1"/>
  <c r="AR131" i="1"/>
  <c r="AQ131" i="1"/>
  <c r="AP131" i="1"/>
  <c r="AO131" i="1"/>
  <c r="AN131" i="1"/>
  <c r="AM131" i="1"/>
  <c r="AL131" i="1"/>
  <c r="AK131" i="1"/>
  <c r="AJ131" i="1"/>
  <c r="AI131" i="1"/>
  <c r="AH131" i="1"/>
  <c r="AG131" i="1"/>
  <c r="AF131" i="1"/>
  <c r="AE131" i="1"/>
  <c r="AD131" i="1"/>
  <c r="AC131" i="1"/>
  <c r="AB131" i="1"/>
  <c r="AA131" i="1"/>
  <c r="Z131" i="1"/>
  <c r="Y131" i="1"/>
  <c r="X131" i="1"/>
  <c r="W131" i="1"/>
  <c r="V131" i="1"/>
  <c r="U131" i="1"/>
  <c r="T131" i="1"/>
  <c r="S131"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BF126" i="1"/>
  <c r="BF261" i="1" s="1"/>
  <c r="BD126" i="1"/>
  <c r="BC126" i="1"/>
  <c r="BE126" i="1" s="1"/>
  <c r="BE261" i="1" s="1"/>
  <c r="AU120" i="1"/>
  <c r="AT120" i="1"/>
  <c r="AS120" i="1"/>
  <c r="AR120" i="1"/>
  <c r="AQ120" i="1"/>
  <c r="AP120" i="1"/>
  <c r="AN120" i="1"/>
  <c r="AM120" i="1"/>
  <c r="AL120" i="1"/>
  <c r="AK120" i="1"/>
  <c r="AJ120" i="1"/>
  <c r="AI120" i="1"/>
  <c r="AH120" i="1"/>
  <c r="AG120" i="1"/>
  <c r="AF120" i="1"/>
  <c r="AE120" i="1"/>
  <c r="AD120" i="1"/>
  <c r="AC120" i="1"/>
  <c r="AB120" i="1"/>
  <c r="AA120" i="1"/>
  <c r="Z120" i="1"/>
  <c r="Y120" i="1"/>
  <c r="X120" i="1"/>
  <c r="W120" i="1"/>
  <c r="V120" i="1"/>
  <c r="U120" i="1"/>
  <c r="T120" i="1"/>
  <c r="S120" i="1"/>
  <c r="R120" i="1"/>
  <c r="Q120" i="1"/>
  <c r="P120" i="1"/>
  <c r="J120" i="1"/>
  <c r="I120" i="1"/>
  <c r="H120" i="1"/>
  <c r="G120" i="1"/>
  <c r="F120" i="1"/>
  <c r="E120" i="1"/>
  <c r="D120" i="1"/>
  <c r="C120" i="1"/>
  <c r="BF119" i="1"/>
  <c r="BD119" i="1"/>
  <c r="BE119" i="1" s="1"/>
  <c r="BE260" i="1" s="1"/>
  <c r="BC119" i="1"/>
  <c r="BF118" i="1"/>
  <c r="BF259" i="1" s="1"/>
  <c r="BD118" i="1"/>
  <c r="BC118" i="1"/>
  <c r="BE118" i="1" s="1"/>
  <c r="BE259" i="1" s="1"/>
  <c r="BF117" i="1"/>
  <c r="BF258" i="1" s="1"/>
  <c r="BD117" i="1"/>
  <c r="BE117" i="1" s="1"/>
  <c r="BE258" i="1" s="1"/>
  <c r="BC117" i="1"/>
  <c r="AT117" i="1"/>
  <c r="AS117" i="1"/>
  <c r="AO117" i="1"/>
  <c r="AO120" i="1" s="1"/>
  <c r="AU113" i="1"/>
  <c r="AT113" i="1"/>
  <c r="AS113" i="1"/>
  <c r="AR113" i="1"/>
  <c r="AQ113" i="1"/>
  <c r="AQ107" i="1" s="1"/>
  <c r="AP113" i="1"/>
  <c r="AO113" i="1"/>
  <c r="AN113" i="1"/>
  <c r="AM113" i="1"/>
  <c r="AL113" i="1"/>
  <c r="AK113" i="1"/>
  <c r="AJ113" i="1"/>
  <c r="AI113" i="1"/>
  <c r="AH113" i="1"/>
  <c r="AG113" i="1"/>
  <c r="AF113" i="1"/>
  <c r="AE113" i="1"/>
  <c r="AD113" i="1"/>
  <c r="AC113" i="1"/>
  <c r="AB113" i="1"/>
  <c r="AA113" i="1"/>
  <c r="Z113" i="1"/>
  <c r="Y113" i="1"/>
  <c r="X113" i="1"/>
  <c r="W113" i="1"/>
  <c r="V113" i="1"/>
  <c r="U113" i="1"/>
  <c r="T113" i="1"/>
  <c r="S113" i="1"/>
  <c r="R113" i="1"/>
  <c r="Q113" i="1"/>
  <c r="P113" i="1"/>
  <c r="J113" i="1"/>
  <c r="I113" i="1"/>
  <c r="H113" i="1"/>
  <c r="G113" i="1"/>
  <c r="F113" i="1"/>
  <c r="E113" i="1"/>
  <c r="D113" i="1"/>
  <c r="C113" i="1"/>
  <c r="BF112" i="1"/>
  <c r="BD112" i="1"/>
  <c r="BE112" i="1" s="1"/>
  <c r="BE257" i="1" s="1"/>
  <c r="BC112" i="1"/>
  <c r="AS112" i="1"/>
  <c r="BF111" i="1"/>
  <c r="BC111" i="1"/>
  <c r="AS111" i="1"/>
  <c r="BD111" i="1" s="1"/>
  <c r="BE111" i="1" s="1"/>
  <c r="BE256" i="1" s="1"/>
  <c r="BF110" i="1"/>
  <c r="BD110" i="1"/>
  <c r="BE110" i="1" s="1"/>
  <c r="BE255" i="1" s="1"/>
  <c r="BC110" i="1"/>
  <c r="AS110" i="1"/>
  <c r="AU106" i="1"/>
  <c r="AT106" i="1"/>
  <c r="AR106" i="1"/>
  <c r="AQ106" i="1"/>
  <c r="AP106" i="1"/>
  <c r="AO106" i="1"/>
  <c r="AN106" i="1"/>
  <c r="AM106" i="1"/>
  <c r="AL106" i="1"/>
  <c r="AK106" i="1"/>
  <c r="AJ106" i="1"/>
  <c r="AI106" i="1"/>
  <c r="AH106" i="1"/>
  <c r="AG106" i="1"/>
  <c r="AF106" i="1"/>
  <c r="AE106" i="1"/>
  <c r="AD106" i="1"/>
  <c r="AC106" i="1"/>
  <c r="AB106" i="1"/>
  <c r="AA106" i="1"/>
  <c r="Z106" i="1"/>
  <c r="Y106" i="1"/>
  <c r="X106" i="1"/>
  <c r="W106" i="1"/>
  <c r="V106" i="1"/>
  <c r="U106" i="1"/>
  <c r="T106" i="1"/>
  <c r="S106" i="1"/>
  <c r="R106" i="1"/>
  <c r="Q106" i="1"/>
  <c r="P106" i="1"/>
  <c r="J106" i="1"/>
  <c r="I106" i="1"/>
  <c r="H106" i="1"/>
  <c r="G106" i="1"/>
  <c r="F106" i="1"/>
  <c r="E106" i="1"/>
  <c r="D106" i="1"/>
  <c r="C106" i="1"/>
  <c r="AS105" i="1"/>
  <c r="AS106" i="1" s="1"/>
  <c r="BF104" i="1"/>
  <c r="BF254" i="1" s="1"/>
  <c r="BD104" i="1"/>
  <c r="BE104" i="1" s="1"/>
  <c r="BE254" i="1" s="1"/>
  <c r="BC104" i="1"/>
  <c r="BF103" i="1"/>
  <c r="BF253" i="1" s="1"/>
  <c r="BD103" i="1"/>
  <c r="BC103" i="1"/>
  <c r="BE103" i="1" s="1"/>
  <c r="BE253" i="1" s="1"/>
  <c r="BF102" i="1"/>
  <c r="BD102" i="1"/>
  <c r="BE102" i="1" s="1"/>
  <c r="BE252" i="1" s="1"/>
  <c r="BC102" i="1"/>
  <c r="BF101" i="1"/>
  <c r="BF251" i="1" s="1"/>
  <c r="BD101" i="1"/>
  <c r="BE101" i="1" s="1"/>
  <c r="BE251" i="1" s="1"/>
  <c r="BC101" i="1"/>
  <c r="AU88" i="1"/>
  <c r="AT88" i="1"/>
  <c r="AS88" i="1"/>
  <c r="AR88" i="1"/>
  <c r="AQ88" i="1"/>
  <c r="AP88" i="1"/>
  <c r="AO88" i="1"/>
  <c r="AN88" i="1"/>
  <c r="AM88" i="1"/>
  <c r="AL88" i="1"/>
  <c r="AK88" i="1"/>
  <c r="AJ88" i="1"/>
  <c r="AI88" i="1"/>
  <c r="AH88" i="1"/>
  <c r="AG88" i="1"/>
  <c r="AF88" i="1"/>
  <c r="AE88" i="1"/>
  <c r="AD88" i="1"/>
  <c r="AC88" i="1"/>
  <c r="AB88" i="1"/>
  <c r="AA88" i="1"/>
  <c r="Z88" i="1"/>
  <c r="Y88" i="1"/>
  <c r="X88" i="1"/>
  <c r="W88" i="1"/>
  <c r="V88" i="1"/>
  <c r="U88" i="1"/>
  <c r="T88" i="1"/>
  <c r="S88" i="1"/>
  <c r="R88" i="1"/>
  <c r="Q88" i="1"/>
  <c r="P88" i="1"/>
  <c r="AU87" i="1"/>
  <c r="AT87" i="1"/>
  <c r="AS87" i="1"/>
  <c r="AR87" i="1"/>
  <c r="AQ87" i="1"/>
  <c r="AP87" i="1"/>
  <c r="AO87" i="1"/>
  <c r="AN87" i="1"/>
  <c r="AM87" i="1"/>
  <c r="AL87" i="1"/>
  <c r="AK87" i="1"/>
  <c r="AJ87" i="1"/>
  <c r="AI87" i="1"/>
  <c r="AH87" i="1"/>
  <c r="AG87" i="1"/>
  <c r="AF87" i="1"/>
  <c r="AE87" i="1"/>
  <c r="AD87" i="1"/>
  <c r="AC87" i="1"/>
  <c r="AB87" i="1"/>
  <c r="AA87" i="1"/>
  <c r="Z87" i="1"/>
  <c r="Y87" i="1"/>
  <c r="X87" i="1"/>
  <c r="W87" i="1"/>
  <c r="V87" i="1"/>
  <c r="U87" i="1"/>
  <c r="T87" i="1"/>
  <c r="S87" i="1"/>
  <c r="R87" i="1"/>
  <c r="Q87" i="1"/>
  <c r="P87" i="1"/>
  <c r="BF83" i="1"/>
  <c r="BF250" i="1" s="1"/>
  <c r="BD83" i="1"/>
  <c r="BE83" i="1" s="1"/>
  <c r="BE250" i="1" s="1"/>
  <c r="BC83" i="1"/>
  <c r="AU77" i="1"/>
  <c r="AT77" i="1"/>
  <c r="AS77"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J77" i="1"/>
  <c r="I77" i="1"/>
  <c r="H77" i="1"/>
  <c r="G77" i="1"/>
  <c r="F77" i="1"/>
  <c r="E77" i="1"/>
  <c r="D77" i="1"/>
  <c r="C77" i="1"/>
  <c r="BF75" i="1"/>
  <c r="BD75" i="1"/>
  <c r="BE75" i="1" s="1"/>
  <c r="BE249" i="1" s="1"/>
  <c r="BC75" i="1"/>
  <c r="AH75" i="1"/>
  <c r="BF74" i="1"/>
  <c r="BF248" i="1" s="1"/>
  <c r="BD74" i="1"/>
  <c r="BE74" i="1" s="1"/>
  <c r="BE248" i="1" s="1"/>
  <c r="BC74" i="1"/>
  <c r="BF73" i="1"/>
  <c r="BD73" i="1"/>
  <c r="BE73" i="1" s="1"/>
  <c r="BE247" i="1" s="1"/>
  <c r="BC73" i="1"/>
  <c r="AU69" i="1"/>
  <c r="AT69" i="1"/>
  <c r="AS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J69" i="1"/>
  <c r="I69" i="1"/>
  <c r="H69" i="1"/>
  <c r="G69" i="1"/>
  <c r="F69" i="1"/>
  <c r="E69" i="1"/>
  <c r="D69" i="1"/>
  <c r="C69" i="1"/>
  <c r="AR68" i="1"/>
  <c r="AR69" i="1" s="1"/>
  <c r="BF67" i="1"/>
  <c r="BF246" i="1" s="1"/>
  <c r="BD67" i="1"/>
  <c r="BE67" i="1" s="1"/>
  <c r="BE246" i="1" s="1"/>
  <c r="BC67" i="1"/>
  <c r="BF66" i="1"/>
  <c r="BF245" i="1" s="1"/>
  <c r="BD66" i="1"/>
  <c r="BC66" i="1"/>
  <c r="BE66" i="1" s="1"/>
  <c r="BE245" i="1" s="1"/>
  <c r="AU52" i="1"/>
  <c r="AT52"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AU51" i="1"/>
  <c r="AT51" i="1"/>
  <c r="AS51" i="1"/>
  <c r="AR51" i="1"/>
  <c r="AQ51" i="1"/>
  <c r="AP51" i="1"/>
  <c r="AO51" i="1"/>
  <c r="AN51" i="1"/>
  <c r="AM51" i="1"/>
  <c r="AL51" i="1"/>
  <c r="AK51" i="1"/>
  <c r="AJ51" i="1"/>
  <c r="AI51" i="1"/>
  <c r="AH51" i="1"/>
  <c r="AG51" i="1"/>
  <c r="AF51" i="1"/>
  <c r="AE51" i="1"/>
  <c r="AD51" i="1"/>
  <c r="AC51" i="1"/>
  <c r="AB51" i="1"/>
  <c r="AA51" i="1"/>
  <c r="Z51" i="1"/>
  <c r="Y51" i="1"/>
  <c r="X51" i="1"/>
  <c r="W51" i="1"/>
  <c r="V51" i="1"/>
  <c r="U51" i="1"/>
  <c r="T51" i="1"/>
  <c r="S51" i="1"/>
  <c r="R51" i="1"/>
  <c r="Q51" i="1"/>
  <c r="P51" i="1"/>
  <c r="BF47" i="1"/>
  <c r="BF244" i="1" s="1"/>
  <c r="BD47" i="1"/>
  <c r="BE47" i="1" s="1"/>
  <c r="BE244" i="1" s="1"/>
  <c r="BC47" i="1"/>
  <c r="AU40" i="1"/>
  <c r="AT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K40" i="1"/>
  <c r="J40" i="1"/>
  <c r="I40" i="1"/>
  <c r="H40" i="1"/>
  <c r="G40" i="1"/>
  <c r="F40" i="1"/>
  <c r="E40" i="1"/>
  <c r="D40" i="1"/>
  <c r="C40" i="1"/>
  <c r="BF39" i="1"/>
  <c r="BF243" i="1" s="1"/>
  <c r="BF311" i="1" s="1"/>
  <c r="BD39" i="1"/>
  <c r="BE39" i="1" s="1"/>
  <c r="BE243" i="1" s="1"/>
  <c r="BE311" i="1" s="1"/>
  <c r="BC39" i="1"/>
  <c r="BF38" i="1"/>
  <c r="BF242" i="1" s="1"/>
  <c r="BF310" i="1" s="1"/>
  <c r="BD38" i="1"/>
  <c r="BE38" i="1" s="1"/>
  <c r="BE242" i="1" s="1"/>
  <c r="BE310" i="1" s="1"/>
  <c r="BC38" i="1"/>
  <c r="BF37" i="1"/>
  <c r="BF241" i="1" s="1"/>
  <c r="BF309" i="1" s="1"/>
  <c r="BD37" i="1"/>
  <c r="BE37" i="1" s="1"/>
  <c r="BE241" i="1" s="1"/>
  <c r="BE309" i="1" s="1"/>
  <c r="BC37" i="1"/>
  <c r="AU33" i="1"/>
  <c r="AT33" i="1"/>
  <c r="AS33" i="1"/>
  <c r="AR33" i="1"/>
  <c r="AQ33" i="1"/>
  <c r="AP33" i="1"/>
  <c r="AO33" i="1"/>
  <c r="AN33" i="1"/>
  <c r="AM33" i="1"/>
  <c r="AL33" i="1"/>
  <c r="AK33" i="1"/>
  <c r="AJ33" i="1"/>
  <c r="AI33" i="1"/>
  <c r="AH33" i="1"/>
  <c r="AG33" i="1"/>
  <c r="AE33" i="1"/>
  <c r="AD33" i="1"/>
  <c r="AC33" i="1"/>
  <c r="AB33" i="1"/>
  <c r="AA33" i="1"/>
  <c r="Z33" i="1"/>
  <c r="Y33" i="1"/>
  <c r="X33" i="1"/>
  <c r="W33" i="1"/>
  <c r="V33" i="1"/>
  <c r="U33" i="1"/>
  <c r="T33" i="1"/>
  <c r="S33" i="1"/>
  <c r="R33" i="1"/>
  <c r="Q33" i="1"/>
  <c r="P33" i="1"/>
  <c r="K33" i="1"/>
  <c r="J33" i="1"/>
  <c r="I33" i="1"/>
  <c r="H33" i="1"/>
  <c r="G33" i="1"/>
  <c r="F33" i="1"/>
  <c r="E33" i="1"/>
  <c r="D33" i="1"/>
  <c r="C33" i="1"/>
  <c r="BF32" i="1"/>
  <c r="BF240" i="1" s="1"/>
  <c r="BF308" i="1" s="1"/>
  <c r="BD32" i="1"/>
  <c r="BE32" i="1" s="1"/>
  <c r="BE240" i="1" s="1"/>
  <c r="BE308" i="1" s="1"/>
  <c r="BC32" i="1"/>
  <c r="AG32" i="1"/>
  <c r="AF32" i="1"/>
  <c r="AF33" i="1" s="1"/>
  <c r="BF31" i="1"/>
  <c r="BD31" i="1"/>
  <c r="BE31" i="1" s="1"/>
  <c r="BE239" i="1" s="1"/>
  <c r="BE307" i="1" s="1"/>
  <c r="BC31" i="1"/>
  <c r="BF30" i="1"/>
  <c r="BF238" i="1" s="1"/>
  <c r="BF306" i="1" s="1"/>
  <c r="BD30" i="1"/>
  <c r="BC30" i="1"/>
  <c r="BE30" i="1" s="1"/>
  <c r="BE238" i="1" s="1"/>
  <c r="BE306" i="1" s="1"/>
  <c r="AU26" i="1"/>
  <c r="AT26" i="1"/>
  <c r="AS26" i="1"/>
  <c r="AR26" i="1"/>
  <c r="AQ26" i="1"/>
  <c r="AP26" i="1"/>
  <c r="AO26" i="1"/>
  <c r="AN26" i="1"/>
  <c r="AM26" i="1"/>
  <c r="AL26" i="1"/>
  <c r="AK26" i="1"/>
  <c r="AJ26" i="1"/>
  <c r="AI26" i="1"/>
  <c r="AH26" i="1"/>
  <c r="AG26" i="1"/>
  <c r="AF26" i="1"/>
  <c r="AE26" i="1"/>
  <c r="AD26" i="1"/>
  <c r="AC26" i="1"/>
  <c r="AB26" i="1"/>
  <c r="AA26" i="1"/>
  <c r="Z26" i="1"/>
  <c r="Y26" i="1"/>
  <c r="X26" i="1"/>
  <c r="W26" i="1"/>
  <c r="V26" i="1"/>
  <c r="U26" i="1"/>
  <c r="T26" i="1"/>
  <c r="S26" i="1"/>
  <c r="R26" i="1"/>
  <c r="Q26" i="1"/>
  <c r="P26" i="1"/>
  <c r="K26" i="1"/>
  <c r="J26" i="1"/>
  <c r="I26" i="1"/>
  <c r="H26" i="1"/>
  <c r="G26" i="1"/>
  <c r="F26" i="1"/>
  <c r="E26" i="1"/>
  <c r="D26" i="1"/>
  <c r="C26" i="1"/>
  <c r="BF25" i="1"/>
  <c r="BF237" i="1" s="1"/>
  <c r="BF305" i="1" s="1"/>
  <c r="BE25" i="1"/>
  <c r="BE237" i="1" s="1"/>
  <c r="BE305" i="1" s="1"/>
  <c r="BD25" i="1"/>
  <c r="BC25" i="1"/>
  <c r="BF24" i="1"/>
  <c r="BF236" i="1" s="1"/>
  <c r="BF304" i="1" s="1"/>
  <c r="BD24" i="1"/>
  <c r="BE24" i="1" s="1"/>
  <c r="BE236" i="1" s="1"/>
  <c r="BE304" i="1" s="1"/>
  <c r="BC24" i="1"/>
  <c r="BF23" i="1"/>
  <c r="BF235" i="1" s="1"/>
  <c r="BF303" i="1" s="1"/>
  <c r="BE23" i="1"/>
  <c r="BE235" i="1" s="1"/>
  <c r="BE303" i="1" s="1"/>
  <c r="BD23" i="1"/>
  <c r="BC23" i="1"/>
  <c r="AU9" i="1"/>
  <c r="AT9" i="1"/>
  <c r="AS9" i="1"/>
  <c r="AQ9" i="1"/>
  <c r="AP9" i="1"/>
  <c r="AO9" i="1"/>
  <c r="AM9" i="1"/>
  <c r="AL9" i="1"/>
  <c r="AK9" i="1"/>
  <c r="AI9" i="1"/>
  <c r="AH9" i="1"/>
  <c r="AG9" i="1"/>
  <c r="AF9" i="1"/>
  <c r="AE9" i="1"/>
  <c r="AD9" i="1"/>
  <c r="AC9" i="1"/>
  <c r="AB9" i="1"/>
  <c r="AA9" i="1"/>
  <c r="Z9" i="1"/>
  <c r="Y9" i="1"/>
  <c r="X9" i="1"/>
  <c r="W9" i="1"/>
  <c r="V9" i="1"/>
  <c r="U9" i="1"/>
  <c r="T9" i="1"/>
  <c r="S9" i="1"/>
  <c r="R9" i="1"/>
  <c r="Q9" i="1"/>
  <c r="P9" i="1"/>
  <c r="AU8" i="1"/>
  <c r="AT8" i="1"/>
  <c r="AS8" i="1"/>
  <c r="AQ8" i="1"/>
  <c r="AP8" i="1"/>
  <c r="AO8" i="1"/>
  <c r="AM8" i="1"/>
  <c r="AL8" i="1"/>
  <c r="AK8" i="1"/>
  <c r="AI8" i="1"/>
  <c r="AH8" i="1"/>
  <c r="AG8" i="1"/>
  <c r="AF8" i="1"/>
  <c r="AE8" i="1"/>
  <c r="AD8" i="1"/>
  <c r="AC8" i="1"/>
  <c r="AB8" i="1"/>
  <c r="AA8" i="1"/>
  <c r="Z8" i="1"/>
  <c r="Y8" i="1"/>
  <c r="X8" i="1"/>
  <c r="W8" i="1"/>
  <c r="V8" i="1"/>
  <c r="U8" i="1"/>
  <c r="T8" i="1"/>
  <c r="S8" i="1"/>
  <c r="R8" i="1"/>
  <c r="Q8" i="1"/>
  <c r="P8" i="1"/>
  <c r="BF4" i="1"/>
  <c r="BF234" i="1" s="1"/>
  <c r="BE4" i="1"/>
  <c r="BE234" i="1" s="1"/>
  <c r="BD4" i="1"/>
  <c r="BC4" i="1"/>
  <c r="BE302" i="1" l="1"/>
  <c r="BE286" i="1"/>
  <c r="BF289" i="1"/>
  <c r="BF296" i="1" s="1"/>
  <c r="BF302" i="1"/>
  <c r="BF288" i="1"/>
  <c r="BF295" i="1" s="1"/>
  <c r="BF286" i="1"/>
  <c r="BD176" i="1"/>
  <c r="BE176" i="1" s="1"/>
  <c r="BE274" i="1" s="1"/>
  <c r="BE289" i="1" s="1"/>
  <c r="BE293" i="1" s="1"/>
  <c r="AA148" i="1"/>
  <c r="AA152" i="1" s="1"/>
  <c r="AE148" i="1"/>
  <c r="AE152" i="1" s="1"/>
  <c r="S148" i="1"/>
  <c r="S152" i="1" s="1"/>
  <c r="AI148" i="1"/>
  <c r="AI152" i="1" s="1"/>
  <c r="BF293" i="1" l="1"/>
  <c r="BF292" i="1"/>
  <c r="BF314" i="1"/>
  <c r="BF317" i="1"/>
  <c r="BF324" i="1" s="1"/>
  <c r="BF316" i="1"/>
  <c r="BF323" i="1" s="1"/>
  <c r="BE296" i="1"/>
  <c r="BE295" i="1"/>
  <c r="BE288" i="1"/>
  <c r="BE292" i="1" s="1"/>
  <c r="BE314" i="1"/>
  <c r="BE317" i="1"/>
  <c r="BE321" i="1" s="1"/>
  <c r="BE316" i="1"/>
  <c r="BE320" i="1" s="1"/>
  <c r="BE324" i="1" l="1"/>
  <c r="BE323" i="1"/>
  <c r="BF321" i="1"/>
  <c r="BF320" i="1"/>
</calcChain>
</file>

<file path=xl/sharedStrings.xml><?xml version="1.0" encoding="utf-8"?>
<sst xmlns="http://schemas.openxmlformats.org/spreadsheetml/2006/main" count="2009" uniqueCount="398">
  <si>
    <t>STARBUCKS, MCDONALD'S, RESTAURANT BRANDS and YUM BRANDS</t>
  </si>
  <si>
    <t>Q1</t>
  </si>
  <si>
    <t>Q2</t>
  </si>
  <si>
    <t>Q3</t>
  </si>
  <si>
    <t>Q4</t>
  </si>
  <si>
    <t>STARBUCKS CORP</t>
  </si>
  <si>
    <t>2026 (TTM)</t>
  </si>
  <si>
    <t>Apr 01, 2018</t>
  </si>
  <si>
    <t>Jul 01, 2018</t>
  </si>
  <si>
    <t>Sep 30, 2018</t>
  </si>
  <si>
    <t>Dec 30, 2018</t>
  </si>
  <si>
    <t>Mar 31, 2019</t>
  </si>
  <si>
    <t>Jun 30, 2019</t>
  </si>
  <si>
    <t>Sep 29, 2019</t>
  </si>
  <si>
    <t>Dec 29, 2019</t>
  </si>
  <si>
    <t>Mar 29, 2020</t>
  </si>
  <si>
    <t>Jun 28, 2020</t>
  </si>
  <si>
    <t>Sep 27, 2020</t>
  </si>
  <si>
    <t>Dec 27, 2020</t>
  </si>
  <si>
    <t>Mar 28, 2021</t>
  </si>
  <si>
    <t>Jun 27, 2021</t>
  </si>
  <si>
    <t>Oct 03, 2021</t>
  </si>
  <si>
    <t>Jan 02, 2022</t>
  </si>
  <si>
    <t>Apr 03, 2022</t>
  </si>
  <si>
    <t>Jul 03, 2022</t>
  </si>
  <si>
    <t>Oct 02, 2022</t>
  </si>
  <si>
    <t>Jan 01, 2023</t>
  </si>
  <si>
    <t>Apr 02, 2023</t>
  </si>
  <si>
    <t>Jul 02, 2023</t>
  </si>
  <si>
    <t>Oct 01, 2023</t>
  </si>
  <si>
    <t>Dec 31, 2023</t>
  </si>
  <si>
    <t>Mar 31, 2024</t>
  </si>
  <si>
    <t>Jun 30, 2024</t>
  </si>
  <si>
    <t>Sep 29, 2024</t>
  </si>
  <si>
    <t>Dec 29, 2024</t>
  </si>
  <si>
    <t>Mar 30, 2025</t>
  </si>
  <si>
    <t>Jun 29, 2025</t>
  </si>
  <si>
    <t>Sep 28, 2025</t>
  </si>
  <si>
    <t>Dec 28, 2025</t>
  </si>
  <si>
    <t>2025 TTM</t>
  </si>
  <si>
    <t>2026 TTM</t>
  </si>
  <si>
    <t>TTM CH</t>
  </si>
  <si>
    <t>CAGR 5Q</t>
  </si>
  <si>
    <t>US MIL</t>
  </si>
  <si>
    <t>Revenue</t>
  </si>
  <si>
    <t>Starbucks Rev</t>
  </si>
  <si>
    <t>Gross Profit</t>
  </si>
  <si>
    <t>Operating Income</t>
  </si>
  <si>
    <t>Net Income</t>
  </si>
  <si>
    <t>Operating CF (Rev-OE)</t>
  </si>
  <si>
    <t>%</t>
  </si>
  <si>
    <t>Net Profit Margin</t>
  </si>
  <si>
    <t>Free CF (OCF-Capex)</t>
  </si>
  <si>
    <t>Gross Margin</t>
  </si>
  <si>
    <t>Revenue Change (YOY)</t>
  </si>
  <si>
    <t>OI Change (YOY)</t>
  </si>
  <si>
    <t>NI Change (YOY)</t>
  </si>
  <si>
    <t>Profitability Ratio</t>
  </si>
  <si>
    <t>Net Profit Margin (%)</t>
  </si>
  <si>
    <t>Gross Margin (%)</t>
  </si>
  <si>
    <t>Efficiency Ratio</t>
  </si>
  <si>
    <t>Receivables Turnover</t>
  </si>
  <si>
    <t>Asset Turnover (Sales/Assets)</t>
  </si>
  <si>
    <t>Leverge Ratio</t>
  </si>
  <si>
    <t>Gearing (Debt/Equity)</t>
  </si>
  <si>
    <t>Liquidity Ratio</t>
  </si>
  <si>
    <t>Current Ratio (Assets/Liabilities)</t>
  </si>
  <si>
    <t>No. of Employees (Est.)</t>
  </si>
  <si>
    <t>Net Sales</t>
  </si>
  <si>
    <t>Store Type</t>
  </si>
  <si>
    <t>Oct 02,2022</t>
  </si>
  <si>
    <t>Company-Opeerated</t>
  </si>
  <si>
    <t>SB Company-Op</t>
  </si>
  <si>
    <t>Licensed</t>
  </si>
  <si>
    <t>SB Licensed</t>
  </si>
  <si>
    <t>Other*</t>
  </si>
  <si>
    <t>SB Royalty</t>
  </si>
  <si>
    <t>TOTAL</t>
  </si>
  <si>
    <t>* Product Sales and royalty revenue</t>
  </si>
  <si>
    <t>Market</t>
  </si>
  <si>
    <t>North America</t>
  </si>
  <si>
    <t>SB North America</t>
  </si>
  <si>
    <t>International</t>
  </si>
  <si>
    <t>SB International</t>
  </si>
  <si>
    <t>Others**</t>
  </si>
  <si>
    <t>SB Channel Devt</t>
  </si>
  <si>
    <t>** Includes Channel Development, Corporate, etc.</t>
  </si>
  <si>
    <t>LOB</t>
  </si>
  <si>
    <t>Beverage</t>
  </si>
  <si>
    <t>SB Beverage</t>
  </si>
  <si>
    <t>Food</t>
  </si>
  <si>
    <t>SB Food</t>
  </si>
  <si>
    <t>Other</t>
  </si>
  <si>
    <t>SB Packaged Drinks</t>
  </si>
  <si>
    <t xml:space="preserve">NB: </t>
  </si>
  <si>
    <t>Beverage represents sales within company-operated stores</t>
  </si>
  <si>
    <t>Food includes sales within company-operated stores</t>
  </si>
  <si>
    <t>"Other" consists of packaged and single-serve coffee and teas, royalties and licensing revenues, beverage-related ingredients, RTD beverages, etc.</t>
  </si>
  <si>
    <t>McDONALD'S CORP</t>
  </si>
  <si>
    <t>DEC</t>
  </si>
  <si>
    <t>Dec 31, 2018</t>
  </si>
  <si>
    <t>Sep 30, 2019</t>
  </si>
  <si>
    <t>Dec 31, 2019</t>
  </si>
  <si>
    <t>Mar 31, 2020</t>
  </si>
  <si>
    <t>Jun 30, 2020</t>
  </si>
  <si>
    <t>Sep 30, 2020</t>
  </si>
  <si>
    <t>Dec 31, 2020</t>
  </si>
  <si>
    <t>Mar 31, 2021</t>
  </si>
  <si>
    <t>Jun 30, 2021</t>
  </si>
  <si>
    <t>Sep 30, 2021</t>
  </si>
  <si>
    <t>Dec 31, 2021</t>
  </si>
  <si>
    <t>Mar 31, 2022</t>
  </si>
  <si>
    <t>Jun 30, 2022</t>
  </si>
  <si>
    <t>Sep 30, 2022</t>
  </si>
  <si>
    <t>Dec 31, 2022</t>
  </si>
  <si>
    <t>Mar 31, 2023</t>
  </si>
  <si>
    <t>Jun 30, 2023</t>
  </si>
  <si>
    <t>Sep 30, 2023</t>
  </si>
  <si>
    <t>Sep 30, 2024</t>
  </si>
  <si>
    <t>Dec 31, 2024</t>
  </si>
  <si>
    <t>Mar 31, 2025</t>
  </si>
  <si>
    <t>Jun 30, 2025</t>
  </si>
  <si>
    <t>Dec 31, 2025</t>
  </si>
  <si>
    <t>2024 TTM</t>
  </si>
  <si>
    <t>McDonalds Rev</t>
  </si>
  <si>
    <t>Mar 31, 2018</t>
  </si>
  <si>
    <t>Jun 30, 2018</t>
  </si>
  <si>
    <t>Sep 30, 2025</t>
  </si>
  <si>
    <t>Company Operated</t>
  </si>
  <si>
    <t>McD Company Op</t>
  </si>
  <si>
    <t>Franchised</t>
  </si>
  <si>
    <t>McD Franchised</t>
  </si>
  <si>
    <t>Others</t>
  </si>
  <si>
    <t>Markets</t>
  </si>
  <si>
    <t>US</t>
  </si>
  <si>
    <t>McD US</t>
  </si>
  <si>
    <t>International (Op)</t>
  </si>
  <si>
    <t>McD Int'l (Op)</t>
  </si>
  <si>
    <t>International (Licensed)*</t>
  </si>
  <si>
    <t>McD Int'l (Licensed)</t>
  </si>
  <si>
    <t>* includes Corporate</t>
  </si>
  <si>
    <r>
      <t>RESTAURANT BRANDS INT'L INC</t>
    </r>
    <r>
      <rPr>
        <sz val="10"/>
        <color theme="1"/>
        <rFont val="Arial"/>
        <family val="2"/>
      </rPr>
      <t xml:space="preserve"> (BK, Tim Horton's, Popeye's)</t>
    </r>
  </si>
  <si>
    <t>Rest Brands Rev</t>
  </si>
  <si>
    <t>LOB (Revised - From 2023 Q4</t>
  </si>
  <si>
    <t>Beginning with the fourth quarter of 2023, we are reporting results under five operating and reportable segments. This shift in reportable segments reflects how our leadership oversees and manages the business. As a result of this change, our five operating and reportable segments consist of the following:</t>
  </si>
  <si>
    <t xml:space="preserve"> </t>
  </si>
  <si>
    <t>Tim Horton</t>
  </si>
  <si>
    <t>Tim Hortons brand in Canada and the U.S. ("TH");</t>
  </si>
  <si>
    <t>RB Tim Horton</t>
  </si>
  <si>
    <t>Burger King</t>
  </si>
  <si>
    <t>Burger King brand in the U.S. and Canada ("BK");</t>
  </si>
  <si>
    <t>RB Burger King</t>
  </si>
  <si>
    <t>Popeye's</t>
  </si>
  <si>
    <t>Popeyes Louisiana Kitchen brand in the U.S. and Canada ("PLK");</t>
  </si>
  <si>
    <t>RB Popeye's</t>
  </si>
  <si>
    <t>Firehouse Subs</t>
  </si>
  <si>
    <t>Firehouse Subs brand in the U.S. and Canada ("FHS"); and</t>
  </si>
  <si>
    <t>RB Firehouse Subs</t>
  </si>
  <si>
    <t>International*</t>
  </si>
  <si>
    <t>International – which includes all operations of each of our brands outside the U.S. and Canada ("INTL").</t>
  </si>
  <si>
    <t>* Includes Restaurant Holdings (Carrols BK and PLK China)</t>
  </si>
  <si>
    <t>Canada</t>
  </si>
  <si>
    <t>RB Canada</t>
  </si>
  <si>
    <t>RB US</t>
  </si>
  <si>
    <t>RB Others</t>
  </si>
  <si>
    <t>Type</t>
  </si>
  <si>
    <t>Sales</t>
  </si>
  <si>
    <t>Sales*</t>
  </si>
  <si>
    <t>RB Sales</t>
  </si>
  <si>
    <t>Franchise and Property Revenues*</t>
  </si>
  <si>
    <t>Franchise and Property Revenues**</t>
  </si>
  <si>
    <t>RB Franchise</t>
  </si>
  <si>
    <t>Advertising and Other Services</t>
  </si>
  <si>
    <t>RB Advertising</t>
  </si>
  <si>
    <t>*  Supply chain sales + Company Restaurant sales</t>
  </si>
  <si>
    <t>** Includes Royalties, Advertising and Other Services</t>
  </si>
  <si>
    <t>* Before 2020 Includes Royalties, Advertising and Other Services</t>
  </si>
  <si>
    <t>LUCKIN COFFEE INC</t>
  </si>
  <si>
    <t>RMB MIL</t>
  </si>
  <si>
    <t>Luckin Rev</t>
  </si>
  <si>
    <t>2025 (TTM)</t>
  </si>
  <si>
    <t>L Owned</t>
  </si>
  <si>
    <t>Partnership Stores</t>
  </si>
  <si>
    <t>L Partnership</t>
  </si>
  <si>
    <r>
      <t xml:space="preserve">YUM BRANDS INC </t>
    </r>
    <r>
      <rPr>
        <sz val="10"/>
        <color theme="1"/>
        <rFont val="Arial"/>
        <family val="2"/>
      </rPr>
      <t>(KFC, Taco Bell, Pizza Hut)</t>
    </r>
  </si>
  <si>
    <t>YUM Brands Rev</t>
  </si>
  <si>
    <t>KFC</t>
  </si>
  <si>
    <t>YUM KFC</t>
  </si>
  <si>
    <t>Taco Bell</t>
  </si>
  <si>
    <t>YUM Taco Bell</t>
  </si>
  <si>
    <t>Pizza Hut</t>
  </si>
  <si>
    <t>YUM Pizza Hut</t>
  </si>
  <si>
    <t>Habit Burger and Grill</t>
  </si>
  <si>
    <t>YUM Habit</t>
  </si>
  <si>
    <t>YUM US</t>
  </si>
  <si>
    <t>China</t>
  </si>
  <si>
    <t>YUM China</t>
  </si>
  <si>
    <t>YUM Others</t>
  </si>
  <si>
    <t>YUM Sales</t>
  </si>
  <si>
    <t>YUM Franchise</t>
  </si>
  <si>
    <t>YUM Advertising</t>
  </si>
  <si>
    <t>THE CHEESECAKE FACTORY</t>
  </si>
  <si>
    <t>Jan 01, 2019</t>
  </si>
  <si>
    <t>Apr 02, 2019</t>
  </si>
  <si>
    <t>Jul 02, 2019</t>
  </si>
  <si>
    <t>Oct 01, 2019</t>
  </si>
  <si>
    <t>Sep 29, 2020</t>
  </si>
  <si>
    <t>Dec 29, 2020</t>
  </si>
  <si>
    <t>Jun 29, 2021</t>
  </si>
  <si>
    <t>Sep 28.2021</t>
  </si>
  <si>
    <t>Mar 29, 2022</t>
  </si>
  <si>
    <t>Jun 28, 2022</t>
  </si>
  <si>
    <t>Sep 27, 2022</t>
  </si>
  <si>
    <t>Apr 04, 2023</t>
  </si>
  <si>
    <t>Jul 04, 2023</t>
  </si>
  <si>
    <t>Oct 03, 2023</t>
  </si>
  <si>
    <t>Jan 02,2024</t>
  </si>
  <si>
    <t>Apr 02, 2024</t>
  </si>
  <si>
    <t>Jul 02, 2024</t>
  </si>
  <si>
    <t>Oct 01, 2024</t>
  </si>
  <si>
    <t>Apr 01, 2025</t>
  </si>
  <si>
    <t>Jul 01, 2025</t>
  </si>
  <si>
    <t>CHEESECAKE Rev</t>
  </si>
  <si>
    <r>
      <t xml:space="preserve">DARDEN RESTAURANTS INC </t>
    </r>
    <r>
      <rPr>
        <sz val="10"/>
        <color theme="1"/>
        <rFont val="Arial"/>
        <family val="2"/>
      </rPr>
      <t>(Olive Garden)</t>
    </r>
  </si>
  <si>
    <t>Feb 28, 2018</t>
  </si>
  <si>
    <t>May 31, 2018</t>
  </si>
  <si>
    <t>Aug 31, 2018</t>
  </si>
  <si>
    <t>Nov 30, 2018</t>
  </si>
  <si>
    <t>Feb 23, 2019</t>
  </si>
  <si>
    <t>May 26, 2019</t>
  </si>
  <si>
    <t>Aug 25, 2019</t>
  </si>
  <si>
    <t>Nov 24, 2019</t>
  </si>
  <si>
    <t>Feb 23, 2020</t>
  </si>
  <si>
    <t>May 31, 2020</t>
  </si>
  <si>
    <t>Aug 30, 2020</t>
  </si>
  <si>
    <t>Nov 29, 2020</t>
  </si>
  <si>
    <t>Feb 28, 2021</t>
  </si>
  <si>
    <t>May 30, 2021</t>
  </si>
  <si>
    <t>Aug 29, 2021</t>
  </si>
  <si>
    <t>Nov 28, 2021</t>
  </si>
  <si>
    <t>Feb 27, 2022</t>
  </si>
  <si>
    <t>May 31, 2022</t>
  </si>
  <si>
    <t>Aug 28, 2022</t>
  </si>
  <si>
    <t>Nov 27, 2022</t>
  </si>
  <si>
    <t>Feb 26, 2023</t>
  </si>
  <si>
    <t>May 31, 2023</t>
  </si>
  <si>
    <t>Aug 27, 2023</t>
  </si>
  <si>
    <t>Nov 26, 2023</t>
  </si>
  <si>
    <t>Feb 25, 2024</t>
  </si>
  <si>
    <t>May 28, 2024</t>
  </si>
  <si>
    <t>Aug 25, 2024</t>
  </si>
  <si>
    <t>Nov 24, 2024</t>
  </si>
  <si>
    <t>Feb 23, 2025</t>
  </si>
  <si>
    <t>May 25, 2025</t>
  </si>
  <si>
    <t>Aug 24, 2025</t>
  </si>
  <si>
    <t>Nov 23, 2025</t>
  </si>
  <si>
    <t>DARDEN Rev</t>
  </si>
  <si>
    <t>CHIPOTLE MEXICAN GRILL INC</t>
  </si>
  <si>
    <t>CHIPOTLE Rev</t>
  </si>
  <si>
    <t>DOUTOR NICHIRES HOLDINGS CO LTD</t>
  </si>
  <si>
    <t>Feb 28, 2019</t>
  </si>
  <si>
    <t>May 31, 2019</t>
  </si>
  <si>
    <t>Aug 31, 2019</t>
  </si>
  <si>
    <t>Nov 30, 2019</t>
  </si>
  <si>
    <t>Feb 29, 2020</t>
  </si>
  <si>
    <t>Aug 31, 2020</t>
  </si>
  <si>
    <t>Nov 30, 2020</t>
  </si>
  <si>
    <t>May 31, 2021</t>
  </si>
  <si>
    <t>Aug 31, 2021</t>
  </si>
  <si>
    <t>Nov 30, 2021</t>
  </si>
  <si>
    <t>Feb 28, 2022</t>
  </si>
  <si>
    <t>Aug 31, 2022</t>
  </si>
  <si>
    <t>Nov 30, 2022</t>
  </si>
  <si>
    <t>Feb 28, 2023</t>
  </si>
  <si>
    <t>Aug 30, 2023</t>
  </si>
  <si>
    <t>Nov 30, 2023</t>
  </si>
  <si>
    <t>Feb 29, 2024</t>
  </si>
  <si>
    <t>May 31, 2024</t>
  </si>
  <si>
    <t>Aug 31, 2024</t>
  </si>
  <si>
    <t>Nov 30, 2024</t>
  </si>
  <si>
    <t>Feb 28, 2025</t>
  </si>
  <si>
    <t>Aug 31, 2025</t>
  </si>
  <si>
    <t>JPY MIL</t>
  </si>
  <si>
    <t>DOUTOR NICHIRES Rev</t>
  </si>
  <si>
    <r>
      <t xml:space="preserve">COCA COLA CO </t>
    </r>
    <r>
      <rPr>
        <sz val="10"/>
        <color theme="1"/>
        <rFont val="Arial"/>
        <family val="2"/>
      </rPr>
      <t>(Coke, Dasani, Costa Coffee)</t>
    </r>
  </si>
  <si>
    <t>Mar 29, 2019</t>
  </si>
  <si>
    <t>Jun 28, 2019</t>
  </si>
  <si>
    <t>Sep 27, 2019</t>
  </si>
  <si>
    <t>Mar 27, 2020</t>
  </si>
  <si>
    <t>Jun 26, 2020</t>
  </si>
  <si>
    <t>Sep 25, 2020</t>
  </si>
  <si>
    <t>Apr 02, 2021</t>
  </si>
  <si>
    <t>Jul 02, 2021</t>
  </si>
  <si>
    <t>Oct 01, 2001</t>
  </si>
  <si>
    <t>Apr 01, 2022</t>
  </si>
  <si>
    <t>Jul 01,2022</t>
  </si>
  <si>
    <t>Jun 28, 2024</t>
  </si>
  <si>
    <t>Sep 27, 2024</t>
  </si>
  <si>
    <t>Mar 28, 2025</t>
  </si>
  <si>
    <t>Jun 27, 2025</t>
  </si>
  <si>
    <t>Sep 26, 2025</t>
  </si>
  <si>
    <t>COCA COLA Rev</t>
  </si>
  <si>
    <r>
      <t xml:space="preserve">PEPSICO INC </t>
    </r>
    <r>
      <rPr>
        <sz val="10"/>
        <color theme="1"/>
        <rFont val="Arial"/>
        <family val="2"/>
      </rPr>
      <t>(Pepsi, Aquafina, Mirinda)</t>
    </r>
  </si>
  <si>
    <t>Mar 23, 2019</t>
  </si>
  <si>
    <t>Jun 15, 2019</t>
  </si>
  <si>
    <t>Sep 07, 2019</t>
  </si>
  <si>
    <t>Dec 28, 2019</t>
  </si>
  <si>
    <t>Mar 21, 2020</t>
  </si>
  <si>
    <t>Jun 13, 2020</t>
  </si>
  <si>
    <t>Sep 05, 2020</t>
  </si>
  <si>
    <t>Mar 20, 2021</t>
  </si>
  <si>
    <t>Jun 12, 2021</t>
  </si>
  <si>
    <t>Sep 04, 2021</t>
  </si>
  <si>
    <t>Dec 25, 2021</t>
  </si>
  <si>
    <t>Mar 19, 2022</t>
  </si>
  <si>
    <t>Jun 22, 2022</t>
  </si>
  <si>
    <t>Sep 3, 2022</t>
  </si>
  <si>
    <t>Dec 31 2022</t>
  </si>
  <si>
    <t>Mar 25, 2023</t>
  </si>
  <si>
    <t>Jun 17,2023</t>
  </si>
  <si>
    <t>Sep 16, 2023</t>
  </si>
  <si>
    <t>Dec 31 2023</t>
  </si>
  <si>
    <t>Mar 23, 2024</t>
  </si>
  <si>
    <t>Jun 15,2024</t>
  </si>
  <si>
    <t>Sep 07, 2024</t>
  </si>
  <si>
    <t>Dec 28, 2024</t>
  </si>
  <si>
    <t>Mar 22, 2025</t>
  </si>
  <si>
    <t>Jun 14, 2025</t>
  </si>
  <si>
    <t>Sep 06, 2025</t>
  </si>
  <si>
    <t>Dec 27, 2025</t>
  </si>
  <si>
    <t>PEPSI Rev</t>
  </si>
  <si>
    <t>MONSTER BEVERAGE CORP</t>
  </si>
  <si>
    <t>MONSTER Rev</t>
  </si>
  <si>
    <r>
      <t xml:space="preserve">DUTCH BROS. INC </t>
    </r>
    <r>
      <rPr>
        <sz val="10"/>
        <color theme="1"/>
        <rFont val="Arial"/>
        <family val="2"/>
      </rPr>
      <t>(Drive-Through Coffee Chain)</t>
    </r>
  </si>
  <si>
    <t>DUTCH BROS Rev</t>
  </si>
  <si>
    <r>
      <t xml:space="preserve">JDE PEET'S NV </t>
    </r>
    <r>
      <rPr>
        <sz val="10"/>
        <color theme="1"/>
        <rFont val="Arial"/>
        <family val="2"/>
      </rPr>
      <t>(L'OR, Senseo, Tassimo, Old Town)</t>
    </r>
  </si>
  <si>
    <t>CAGR 4Q</t>
  </si>
  <si>
    <t>EUR MIL</t>
  </si>
  <si>
    <t>JDE PEETS Rev</t>
  </si>
  <si>
    <t>DENNY'S CORP (Delisted 01/26)</t>
  </si>
  <si>
    <t>DENNY'S CORP</t>
  </si>
  <si>
    <t>Dec 26, 2018</t>
  </si>
  <si>
    <t>Mar 27, 2019</t>
  </si>
  <si>
    <t>Jun 26, 2019</t>
  </si>
  <si>
    <t>Sep 25, 2019</t>
  </si>
  <si>
    <t>Dec 25, 2019</t>
  </si>
  <si>
    <t>Mar 25, 2020</t>
  </si>
  <si>
    <t>Jun 24, 2020</t>
  </si>
  <si>
    <t>Sep 23, 2020</t>
  </si>
  <si>
    <t>Dec 30, 2020</t>
  </si>
  <si>
    <t>Sep 29, 2021</t>
  </si>
  <si>
    <t>Dec 29, 2021</t>
  </si>
  <si>
    <t>Mar 30, 2022</t>
  </si>
  <si>
    <t>Jun 29, 2022</t>
  </si>
  <si>
    <t>Sep 28, 2022</t>
  </si>
  <si>
    <t>Dec 28, 2022</t>
  </si>
  <si>
    <t>Mar 29, 2023</t>
  </si>
  <si>
    <t>Jun 28, 2023</t>
  </si>
  <si>
    <t>Sep 27, 2023</t>
  </si>
  <si>
    <t>Dec 27, 2023</t>
  </si>
  <si>
    <t>Mar 27, 2024</t>
  </si>
  <si>
    <t>Jun 26, 2024</t>
  </si>
  <si>
    <t>Sep 25, 2024</t>
  </si>
  <si>
    <t>Dec 25, 2024</t>
  </si>
  <si>
    <t>Mar 26, 2025</t>
  </si>
  <si>
    <t>Jun 25, 2025</t>
  </si>
  <si>
    <t>Sep 24, 2025</t>
  </si>
  <si>
    <t>Dec 24, 2025</t>
  </si>
  <si>
    <t>Forecasted</t>
  </si>
  <si>
    <t>EUR - USD</t>
  </si>
  <si>
    <t>JPY - USD</t>
  </si>
  <si>
    <t>KRW - USD</t>
  </si>
  <si>
    <t>RMB - USD</t>
  </si>
  <si>
    <t>GBP - USD</t>
  </si>
  <si>
    <t>BRL - USD</t>
  </si>
  <si>
    <t>BENCHMARKING</t>
  </si>
  <si>
    <t>SEGMENT</t>
  </si>
  <si>
    <t>COMPANY</t>
  </si>
  <si>
    <t>CATEGORY</t>
  </si>
  <si>
    <t>Starbucks</t>
  </si>
  <si>
    <t>McDonald's</t>
  </si>
  <si>
    <t>Rest Brands</t>
  </si>
  <si>
    <t>RB Francise</t>
  </si>
  <si>
    <t>Luckin</t>
  </si>
  <si>
    <t>L Rev</t>
  </si>
  <si>
    <t>L Partner</t>
  </si>
  <si>
    <t>YUM Brands</t>
  </si>
  <si>
    <t>Percentile</t>
  </si>
  <si>
    <t>Percentile Value</t>
  </si>
  <si>
    <t>Min</t>
  </si>
  <si>
    <t>Max</t>
  </si>
  <si>
    <t>Label</t>
  </si>
  <si>
    <t>X</t>
  </si>
  <si>
    <t>Y</t>
  </si>
  <si>
    <t>Horizontal</t>
  </si>
  <si>
    <t>CAGR Line</t>
  </si>
  <si>
    <t>Vertical</t>
  </si>
  <si>
    <t>YOY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</si>
</sst>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_(* #,##0.00_);_(* \(#,##0.00\);_(* &quot;-&quot;??_);_(@_)"/>
    <numFmt numFmtId="166" formatCode="_(* #,##0_);_(* \(#,##0\);_(* &quot;-&quot;??_);_(@_)"/>
    <numFmt numFmtId="167" formatCode="#,##0.0_);\(#,##0.0\)"/>
    <numFmt numFmtId="168" formatCode="_(* #,##0.000_);_(* \(#,##0.000\);_(* &quot;-&quot;??_);_(@_)"/>
    <numFmt numFmtId="169" formatCode="_(* #,##0.00000_);_(* \(#,##0.00000\);_(* &quot;-&quot;??_);_(@_)"/>
  </numFmts>
  <fonts count="27" x14ac:knownFonts="1">
    <font>
      <sz val="12"/>
      <color theme="1"/>
      <name val="Calibri"/>
      <family val="2"/>
      <scheme val="minor"/>
    </font>
    <font>
      <sz val="11"/>
      <color theme="1"/>
      <name val="Calibri"/>
      <family val="2"/>
      <scheme val="minor"/>
    </font>
    <font>
      <sz val="12"/>
      <color theme="1"/>
      <name val="Calibri"/>
      <family val="2"/>
      <scheme val="minor"/>
    </font>
    <font>
      <b/>
      <sz val="10"/>
      <color rgb="FFC00000"/>
      <name val="Arial"/>
      <family val="2"/>
    </font>
    <font>
      <sz val="12"/>
      <color theme="8"/>
      <name val="Calibri"/>
      <family val="2"/>
      <scheme val="minor"/>
    </font>
    <font>
      <sz val="10"/>
      <color theme="1"/>
      <name val="Arial"/>
      <family val="2"/>
    </font>
    <font>
      <b/>
      <sz val="10"/>
      <color theme="1"/>
      <name val="Arial"/>
      <family val="2"/>
    </font>
    <font>
      <b/>
      <sz val="10"/>
      <color rgb="FF0070C0"/>
      <name val="Arial"/>
      <family val="2"/>
    </font>
    <font>
      <b/>
      <sz val="10"/>
      <color theme="9" tint="-0.249977111117893"/>
      <name val="Arial"/>
      <family val="2"/>
    </font>
    <font>
      <b/>
      <sz val="10"/>
      <color theme="5" tint="-0.249977111117893"/>
      <name val="Arial"/>
      <family val="2"/>
    </font>
    <font>
      <b/>
      <sz val="10"/>
      <color rgb="FF7030A0"/>
      <name val="Arial"/>
      <family val="2"/>
    </font>
    <font>
      <b/>
      <sz val="10"/>
      <color theme="7" tint="-0.249977111117893"/>
      <name val="Arial"/>
      <family val="2"/>
    </font>
    <font>
      <b/>
      <sz val="10"/>
      <color theme="4"/>
      <name val="Arial"/>
      <family val="2"/>
    </font>
    <font>
      <b/>
      <sz val="10"/>
      <color rgb="FF000000"/>
      <name val="Arial"/>
      <family val="2"/>
    </font>
    <font>
      <b/>
      <sz val="10"/>
      <color rgb="FF333333"/>
      <name val="Arial"/>
      <family val="2"/>
    </font>
    <font>
      <sz val="10"/>
      <color rgb="FF000000"/>
      <name val="Arial"/>
      <family val="2"/>
    </font>
    <font>
      <sz val="10"/>
      <color theme="1"/>
      <name val="Helvetica"/>
      <family val="2"/>
    </font>
    <font>
      <b/>
      <sz val="10"/>
      <color theme="8" tint="-0.249977111117893"/>
      <name val="Arial"/>
      <family val="2"/>
    </font>
    <font>
      <sz val="11"/>
      <color rgb="FF333333"/>
      <name val="Calibri"/>
      <family val="2"/>
      <scheme val="minor"/>
    </font>
    <font>
      <sz val="10"/>
      <color theme="1"/>
      <name val="Calibri"/>
      <family val="2"/>
      <scheme val="minor"/>
    </font>
    <font>
      <sz val="10"/>
      <color rgb="FF7030A0"/>
      <name val="Arial"/>
      <family val="2"/>
    </font>
    <font>
      <sz val="10"/>
      <color theme="9" tint="-0.249977111117893"/>
      <name val="Arial"/>
      <family val="2"/>
    </font>
    <font>
      <sz val="10"/>
      <color theme="5" tint="-0.249977111117893"/>
      <name val="Arial"/>
      <family val="2"/>
    </font>
    <font>
      <sz val="10"/>
      <color rgb="FF333333"/>
      <name val="Arial"/>
      <family val="2"/>
    </font>
    <font>
      <i/>
      <sz val="12"/>
      <color theme="1"/>
      <name val="Calibri"/>
      <family val="2"/>
      <scheme val="minor"/>
    </font>
    <font>
      <sz val="10"/>
      <name val="Arial"/>
      <family val="2"/>
    </font>
    <font>
      <b/>
      <sz val="12"/>
      <color theme="0"/>
      <name val="Calibri"/>
      <family val="2"/>
      <scheme val="minor"/>
    </font>
  </fonts>
  <fills count="11">
    <fill>
      <patternFill patternType="none"/>
    </fill>
    <fill>
      <patternFill patternType="gray125"/>
    </fill>
    <fill>
      <patternFill patternType="solid">
        <fgColor rgb="FF7030A0"/>
        <bgColor indexed="64"/>
      </patternFill>
    </fill>
    <fill>
      <patternFill patternType="solid">
        <fgColor rgb="FFE1E9FF"/>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4E1F4"/>
        <bgColor indexed="64"/>
      </patternFill>
    </fill>
    <fill>
      <patternFill patternType="solid">
        <fgColor theme="9" tint="0.79998168889431442"/>
        <bgColor indexed="64"/>
      </patternFill>
    </fill>
    <fill>
      <patternFill patternType="solid">
        <fgColor theme="9"/>
        <bgColor theme="9"/>
      </patternFill>
    </fill>
    <fill>
      <patternFill patternType="solid">
        <fgColor theme="9" tint="0.79998168889431442"/>
        <bgColor theme="9" tint="0.79998168889431442"/>
      </patternFill>
    </fill>
  </fills>
  <borders count="7">
    <border>
      <left/>
      <right/>
      <top/>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bottom style="thin">
        <color theme="9" tint="0.39997558519241921"/>
      </bottom>
      <diagonal/>
    </border>
    <border>
      <left/>
      <right style="thin">
        <color theme="9" tint="0.39997558519241921"/>
      </right>
      <top/>
      <bottom style="thin">
        <color theme="9" tint="0.39997558519241921"/>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3">
    <xf numFmtId="0" fontId="0" fillId="0" borderId="0"/>
    <xf numFmtId="165" fontId="2" fillId="0" borderId="0" applyFont="0" applyFill="0" applyBorder="0" applyAlignment="0" applyProtection="0"/>
    <xf numFmtId="9" fontId="2" fillId="0" borderId="0" applyFont="0" applyFill="0" applyBorder="0" applyAlignment="0" applyProtection="0"/>
  </cellStyleXfs>
  <cellXfs count="134">
    <xf numFmtId="0" fontId="0" fillId="0" borderId="0" xfId="0"/>
    <xf numFmtId="0" fontId="3" fillId="0" borderId="0" xfId="0" applyFont="1" applyAlignment="1">
      <alignment vertical="center"/>
    </xf>
    <xf numFmtId="0" fontId="0" fillId="0" borderId="0" xfId="0" applyAlignment="1">
      <alignment vertical="center"/>
    </xf>
    <xf numFmtId="0" fontId="4" fillId="0" borderId="0" xfId="0" applyFont="1" applyAlignment="1">
      <alignment horizontal="center" vertical="center"/>
    </xf>
    <xf numFmtId="0" fontId="5" fillId="2" borderId="0" xfId="0" applyFont="1" applyFill="1" applyAlignment="1">
      <alignment vertical="center"/>
    </xf>
    <xf numFmtId="0" fontId="0" fillId="0" borderId="0" xfId="0" applyAlignment="1">
      <alignment horizontal="left" vertical="center"/>
    </xf>
    <xf numFmtId="0" fontId="6"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0" borderId="0" xfId="0" applyFont="1" applyAlignment="1">
      <alignment horizontal="right" vertical="center"/>
    </xf>
    <xf numFmtId="0" fontId="9" fillId="0" borderId="0" xfId="0" applyFont="1" applyAlignment="1">
      <alignment horizontal="right" vertical="center"/>
    </xf>
    <xf numFmtId="0" fontId="10" fillId="0" borderId="0" xfId="0" applyFont="1" applyAlignment="1">
      <alignment horizontal="right" vertical="center"/>
    </xf>
    <xf numFmtId="0" fontId="11" fillId="0" borderId="0" xfId="0" applyFont="1" applyAlignment="1">
      <alignment horizontal="right" vertical="center"/>
    </xf>
    <xf numFmtId="0" fontId="12" fillId="0" borderId="0" xfId="0" applyFont="1" applyAlignment="1">
      <alignment horizontal="right" vertical="center"/>
    </xf>
    <xf numFmtId="0" fontId="11" fillId="0" borderId="0" xfId="0" applyFont="1" applyAlignment="1">
      <alignment vertical="center"/>
    </xf>
    <xf numFmtId="0" fontId="6" fillId="0" borderId="0" xfId="0" applyFont="1" applyAlignment="1">
      <alignment horizontal="right" vertical="center"/>
    </xf>
    <xf numFmtId="0" fontId="3" fillId="0" borderId="0" xfId="0" applyFont="1" applyAlignment="1">
      <alignment horizontal="right" vertical="center"/>
    </xf>
    <xf numFmtId="0" fontId="13" fillId="0" borderId="0" xfId="0" applyFont="1" applyAlignment="1">
      <alignment horizontal="right" vertical="center"/>
    </xf>
    <xf numFmtId="0" fontId="14" fillId="0" borderId="0" xfId="0" applyFont="1" applyAlignment="1">
      <alignment vertical="center"/>
    </xf>
    <xf numFmtId="0" fontId="5" fillId="0" borderId="0" xfId="0" applyFont="1" applyAlignment="1">
      <alignment horizontal="center" vertical="center"/>
    </xf>
    <xf numFmtId="164" fontId="5" fillId="0" borderId="0" xfId="2" applyNumberFormat="1" applyFont="1" applyAlignment="1">
      <alignment vertical="center"/>
    </xf>
    <xf numFmtId="165" fontId="5" fillId="0" borderId="0" xfId="0" applyNumberFormat="1" applyFont="1" applyAlignment="1">
      <alignment vertical="center"/>
    </xf>
    <xf numFmtId="10" fontId="5" fillId="0" borderId="0" xfId="0" applyNumberFormat="1" applyFont="1" applyAlignment="1">
      <alignment vertical="center"/>
    </xf>
    <xf numFmtId="0" fontId="5" fillId="0" borderId="0" xfId="0" applyFont="1" applyAlignment="1">
      <alignment horizontal="right" vertical="center"/>
    </xf>
    <xf numFmtId="37" fontId="5" fillId="0" borderId="0" xfId="1" applyNumberFormat="1" applyFont="1" applyAlignment="1">
      <alignment vertical="center"/>
    </xf>
    <xf numFmtId="166" fontId="5" fillId="0" borderId="0" xfId="1" applyNumberFormat="1" applyFont="1" applyFill="1" applyAlignment="1">
      <alignment vertical="center"/>
    </xf>
    <xf numFmtId="37" fontId="15" fillId="0" borderId="0" xfId="1" applyNumberFormat="1" applyFont="1" applyFill="1" applyAlignment="1">
      <alignment vertical="center"/>
    </xf>
    <xf numFmtId="37" fontId="5" fillId="3" borderId="0" xfId="0" applyNumberFormat="1" applyFont="1" applyFill="1" applyAlignment="1">
      <alignment vertical="center"/>
    </xf>
    <xf numFmtId="166" fontId="5" fillId="0" borderId="0" xfId="1" applyNumberFormat="1" applyFont="1" applyAlignment="1">
      <alignment vertical="center"/>
    </xf>
    <xf numFmtId="37" fontId="5" fillId="0" borderId="0" xfId="0" applyNumberFormat="1" applyFont="1" applyAlignment="1">
      <alignment horizontal="right" vertical="center"/>
    </xf>
    <xf numFmtId="37" fontId="15" fillId="0" borderId="0" xfId="0" applyNumberFormat="1" applyFont="1" applyAlignment="1">
      <alignment horizontal="right" vertical="center"/>
    </xf>
    <xf numFmtId="0" fontId="5" fillId="0" borderId="0" xfId="0" applyFont="1" applyAlignment="1">
      <alignment horizontal="left" vertical="center"/>
    </xf>
    <xf numFmtId="166" fontId="5" fillId="0" borderId="0" xfId="1" applyNumberFormat="1" applyFont="1" applyBorder="1" applyAlignment="1">
      <alignment vertical="center"/>
    </xf>
    <xf numFmtId="166" fontId="5" fillId="0" borderId="0" xfId="0" applyNumberFormat="1" applyFont="1" applyAlignment="1">
      <alignment vertical="center"/>
    </xf>
    <xf numFmtId="10" fontId="5" fillId="0" borderId="0" xfId="2" applyNumberFormat="1" applyFont="1" applyAlignment="1">
      <alignment vertical="center"/>
    </xf>
    <xf numFmtId="37" fontId="5" fillId="0" borderId="0" xfId="0" applyNumberFormat="1" applyFont="1" applyAlignment="1">
      <alignment vertical="center"/>
    </xf>
    <xf numFmtId="37" fontId="15" fillId="0" borderId="0" xfId="0" applyNumberFormat="1" applyFont="1" applyAlignment="1">
      <alignment vertical="center"/>
    </xf>
    <xf numFmtId="37" fontId="15" fillId="3" borderId="0" xfId="1" applyNumberFormat="1" applyFont="1" applyFill="1" applyAlignment="1">
      <alignment vertical="center"/>
    </xf>
    <xf numFmtId="0" fontId="16" fillId="0" borderId="0" xfId="0" applyFont="1" applyAlignment="1">
      <alignment vertical="center"/>
    </xf>
    <xf numFmtId="166" fontId="15" fillId="0" borderId="0" xfId="1" applyNumberFormat="1" applyFont="1" applyFill="1" applyAlignment="1">
      <alignment vertical="center"/>
    </xf>
    <xf numFmtId="10" fontId="15" fillId="0" borderId="0" xfId="0" applyNumberFormat="1" applyFont="1" applyAlignment="1">
      <alignment vertical="center"/>
    </xf>
    <xf numFmtId="10" fontId="5" fillId="0" borderId="0" xfId="2" applyNumberFormat="1" applyFont="1" applyBorder="1" applyAlignment="1">
      <alignment vertical="center"/>
    </xf>
    <xf numFmtId="39" fontId="5" fillId="0" borderId="0" xfId="0" applyNumberFormat="1" applyFont="1" applyAlignment="1">
      <alignment vertical="center"/>
    </xf>
    <xf numFmtId="165" fontId="5" fillId="0" borderId="0" xfId="1" applyFont="1" applyFill="1" applyAlignment="1">
      <alignment vertical="center"/>
    </xf>
    <xf numFmtId="165" fontId="15" fillId="0" borderId="0" xfId="1" applyFont="1" applyFill="1" applyAlignment="1">
      <alignment vertical="center"/>
    </xf>
    <xf numFmtId="165" fontId="5" fillId="3" borderId="0" xfId="1" applyFont="1" applyFill="1" applyAlignment="1">
      <alignment vertical="center"/>
    </xf>
    <xf numFmtId="167" fontId="5" fillId="0" borderId="0" xfId="0" applyNumberFormat="1" applyFont="1" applyAlignment="1">
      <alignment vertical="center"/>
    </xf>
    <xf numFmtId="165" fontId="15" fillId="3" borderId="0" xfId="1" applyFont="1" applyFill="1" applyAlignment="1">
      <alignment vertical="center"/>
    </xf>
    <xf numFmtId="165" fontId="5" fillId="0" borderId="0" xfId="1" applyFont="1" applyAlignment="1">
      <alignment vertical="center"/>
    </xf>
    <xf numFmtId="166" fontId="15" fillId="0" borderId="0" xfId="1" applyNumberFormat="1" applyFont="1" applyAlignment="1">
      <alignment vertical="center"/>
    </xf>
    <xf numFmtId="0" fontId="0" fillId="0" borderId="0" xfId="0" applyAlignment="1">
      <alignment horizontal="left"/>
    </xf>
    <xf numFmtId="166" fontId="6" fillId="0" borderId="0" xfId="0" applyNumberFormat="1" applyFont="1" applyAlignment="1">
      <alignment horizontal="right" vertical="center"/>
    </xf>
    <xf numFmtId="166" fontId="5" fillId="0" borderId="1" xfId="0" applyNumberFormat="1" applyFont="1" applyBorder="1" applyAlignment="1">
      <alignment vertical="center"/>
    </xf>
    <xf numFmtId="166" fontId="5" fillId="0" borderId="1" xfId="1" applyNumberFormat="1" applyFont="1" applyBorder="1" applyAlignment="1">
      <alignment vertical="center"/>
    </xf>
    <xf numFmtId="0" fontId="15" fillId="0" borderId="0" xfId="0" applyFont="1" applyAlignment="1">
      <alignment vertical="center"/>
    </xf>
    <xf numFmtId="0" fontId="15" fillId="0" borderId="0" xfId="0" applyFont="1" applyAlignment="1">
      <alignment horizontal="left" vertical="center"/>
    </xf>
    <xf numFmtId="166" fontId="5" fillId="0" borderId="0" xfId="1" applyNumberFormat="1" applyFont="1" applyBorder="1" applyAlignment="1">
      <alignment horizontal="right" vertical="center"/>
    </xf>
    <xf numFmtId="166" fontId="0" fillId="0" borderId="0" xfId="0" applyNumberFormat="1"/>
    <xf numFmtId="165" fontId="0" fillId="0" borderId="0" xfId="0" applyNumberFormat="1"/>
    <xf numFmtId="166" fontId="5" fillId="0" borderId="0" xfId="1" applyNumberFormat="1" applyFont="1" applyBorder="1" applyAlignment="1">
      <alignment horizontal="left" vertical="center"/>
    </xf>
    <xf numFmtId="0" fontId="0" fillId="0" borderId="0" xfId="0" applyAlignment="1">
      <alignment horizontal="center" vertical="center"/>
    </xf>
    <xf numFmtId="37" fontId="5" fillId="0" borderId="0" xfId="1" applyNumberFormat="1" applyFont="1" applyFill="1" applyAlignment="1">
      <alignment vertical="center"/>
    </xf>
    <xf numFmtId="39" fontId="15" fillId="0" borderId="0" xfId="0" applyNumberFormat="1" applyFont="1" applyAlignment="1">
      <alignment vertical="center"/>
    </xf>
    <xf numFmtId="165" fontId="15" fillId="0" borderId="0" xfId="0" applyNumberFormat="1" applyFont="1" applyAlignment="1">
      <alignment vertical="center"/>
    </xf>
    <xf numFmtId="165" fontId="15" fillId="0" borderId="0" xfId="1" applyFont="1" applyAlignment="1">
      <alignment vertical="center"/>
    </xf>
    <xf numFmtId="166" fontId="0" fillId="0" borderId="0" xfId="0" applyNumberFormat="1" applyAlignment="1">
      <alignment vertical="center"/>
    </xf>
    <xf numFmtId="166" fontId="5" fillId="0" borderId="0" xfId="1" applyNumberFormat="1" applyFont="1"/>
    <xf numFmtId="165" fontId="5" fillId="0" borderId="0" xfId="1" applyFont="1"/>
    <xf numFmtId="10" fontId="5" fillId="0" borderId="0" xfId="2" applyNumberFormat="1" applyFont="1"/>
    <xf numFmtId="168" fontId="0" fillId="0" borderId="0" xfId="0" applyNumberFormat="1"/>
    <xf numFmtId="0" fontId="5" fillId="0" borderId="0" xfId="0" applyFont="1"/>
    <xf numFmtId="0" fontId="17" fillId="0" borderId="0" xfId="0" applyFont="1" applyAlignment="1">
      <alignment horizontal="right" vertical="center"/>
    </xf>
    <xf numFmtId="166" fontId="5" fillId="0" borderId="0" xfId="0" applyNumberFormat="1" applyFont="1" applyAlignment="1">
      <alignment horizontal="right" vertical="center"/>
    </xf>
    <xf numFmtId="2" fontId="15" fillId="0" borderId="0" xfId="1" applyNumberFormat="1" applyFont="1" applyAlignment="1">
      <alignment vertical="center"/>
    </xf>
    <xf numFmtId="2" fontId="5" fillId="0" borderId="0" xfId="0" applyNumberFormat="1" applyFont="1" applyAlignment="1">
      <alignment vertical="center"/>
    </xf>
    <xf numFmtId="0" fontId="6" fillId="4" borderId="0" xfId="0" applyFont="1" applyFill="1" applyAlignment="1">
      <alignment vertical="center"/>
    </xf>
    <xf numFmtId="0" fontId="18" fillId="0" borderId="0" xfId="0" applyFont="1"/>
    <xf numFmtId="10" fontId="5" fillId="0" borderId="0" xfId="2" applyNumberFormat="1" applyFont="1" applyFill="1" applyAlignment="1">
      <alignment vertical="center"/>
    </xf>
    <xf numFmtId="0" fontId="19" fillId="0" borderId="0" xfId="0" applyFont="1"/>
    <xf numFmtId="0" fontId="12" fillId="0" borderId="0" xfId="0" applyFont="1" applyAlignment="1">
      <alignment vertical="center"/>
    </xf>
    <xf numFmtId="0" fontId="20" fillId="0" borderId="0" xfId="0" applyFont="1" applyAlignment="1">
      <alignment vertical="center"/>
    </xf>
    <xf numFmtId="10" fontId="15" fillId="0" borderId="0" xfId="2" applyNumberFormat="1" applyFont="1" applyFill="1" applyAlignment="1">
      <alignment vertical="center"/>
    </xf>
    <xf numFmtId="0" fontId="1" fillId="0" borderId="0" xfId="0" applyFont="1" applyAlignment="1">
      <alignment vertical="center"/>
    </xf>
    <xf numFmtId="0" fontId="1" fillId="0" borderId="0" xfId="0" applyFont="1"/>
    <xf numFmtId="0" fontId="13" fillId="0" borderId="0" xfId="0" applyFont="1" applyAlignment="1">
      <alignment vertical="center"/>
    </xf>
    <xf numFmtId="0" fontId="21" fillId="0" borderId="0" xfId="0" applyFont="1" applyAlignment="1">
      <alignment vertical="center"/>
    </xf>
    <xf numFmtId="166" fontId="13" fillId="0" borderId="0" xfId="1" applyNumberFormat="1" applyFont="1" applyAlignment="1">
      <alignment vertical="center"/>
    </xf>
    <xf numFmtId="166" fontId="0" fillId="0" borderId="0" xfId="1" applyNumberFormat="1" applyFont="1"/>
    <xf numFmtId="0" fontId="22" fillId="0" borderId="0" xfId="0" applyFont="1" applyAlignment="1">
      <alignment vertical="center"/>
    </xf>
    <xf numFmtId="166" fontId="6" fillId="0" borderId="0" xfId="1" applyNumberFormat="1" applyFont="1" applyAlignment="1">
      <alignment vertical="center"/>
    </xf>
    <xf numFmtId="166" fontId="3" fillId="0" borderId="0" xfId="1" applyNumberFormat="1" applyFont="1" applyAlignment="1">
      <alignment vertical="center"/>
    </xf>
    <xf numFmtId="0" fontId="14" fillId="0" borderId="0" xfId="0" applyFont="1" applyAlignment="1">
      <alignment horizontal="right" vertical="center"/>
    </xf>
    <xf numFmtId="37" fontId="15" fillId="5" borderId="0" xfId="1" applyNumberFormat="1" applyFont="1" applyFill="1" applyAlignment="1">
      <alignment vertical="center"/>
    </xf>
    <xf numFmtId="37" fontId="23" fillId="0" borderId="0" xfId="0" applyNumberFormat="1" applyFont="1" applyAlignment="1">
      <alignment vertical="center"/>
    </xf>
    <xf numFmtId="166" fontId="0" fillId="0" borderId="0" xfId="1" applyNumberFormat="1" applyFont="1" applyAlignment="1"/>
    <xf numFmtId="17" fontId="6" fillId="0" borderId="0" xfId="0" applyNumberFormat="1" applyFont="1" applyAlignment="1">
      <alignment horizontal="right" vertical="center"/>
    </xf>
    <xf numFmtId="0" fontId="17" fillId="0" borderId="0" xfId="0" applyFont="1" applyAlignment="1">
      <alignment vertical="center"/>
    </xf>
    <xf numFmtId="0" fontId="24" fillId="0" borderId="0" xfId="0" applyFont="1" applyAlignment="1">
      <alignment horizontal="center"/>
    </xf>
    <xf numFmtId="166" fontId="23" fillId="0" borderId="0" xfId="0" applyNumberFormat="1" applyFont="1" applyAlignment="1">
      <alignment vertical="center"/>
    </xf>
    <xf numFmtId="37" fontId="23" fillId="6" borderId="0" xfId="0" applyNumberFormat="1" applyFont="1" applyFill="1" applyAlignment="1">
      <alignment vertical="center"/>
    </xf>
    <xf numFmtId="10" fontId="5" fillId="6" borderId="0" xfId="2" applyNumberFormat="1" applyFont="1" applyFill="1" applyAlignment="1">
      <alignment vertical="center"/>
    </xf>
    <xf numFmtId="0" fontId="3" fillId="0" borderId="0" xfId="0" applyFont="1" applyAlignment="1">
      <alignment horizontal="left" vertical="center"/>
    </xf>
    <xf numFmtId="37" fontId="15" fillId="6" borderId="0" xfId="1" applyNumberFormat="1" applyFont="1" applyFill="1" applyAlignment="1">
      <alignment vertical="center"/>
    </xf>
    <xf numFmtId="166" fontId="5" fillId="7" borderId="0" xfId="1" applyNumberFormat="1" applyFont="1" applyFill="1" applyAlignment="1">
      <alignment vertical="center"/>
    </xf>
    <xf numFmtId="0" fontId="0" fillId="7" borderId="0" xfId="0" applyFill="1"/>
    <xf numFmtId="166" fontId="5" fillId="0" borderId="0" xfId="0" applyNumberFormat="1" applyFont="1" applyAlignment="1">
      <alignment horizontal="center" vertical="center"/>
    </xf>
    <xf numFmtId="166" fontId="5" fillId="0" borderId="0" xfId="1" applyNumberFormat="1" applyFont="1" applyAlignment="1">
      <alignment horizontal="center" vertical="center"/>
    </xf>
    <xf numFmtId="0" fontId="5" fillId="0" borderId="0" xfId="1" applyNumberFormat="1" applyFont="1" applyFill="1" applyBorder="1" applyAlignment="1">
      <alignment horizontal="center" vertical="center"/>
    </xf>
    <xf numFmtId="169" fontId="5" fillId="0" borderId="0" xfId="0" applyNumberFormat="1" applyFont="1" applyAlignment="1">
      <alignment vertical="center"/>
    </xf>
    <xf numFmtId="169" fontId="5" fillId="0" borderId="0" xfId="1" applyNumberFormat="1" applyFont="1" applyFill="1" applyBorder="1" applyAlignment="1">
      <alignment vertical="center"/>
    </xf>
    <xf numFmtId="169" fontId="0" fillId="0" borderId="0" xfId="0" applyNumberFormat="1" applyAlignment="1">
      <alignment vertical="center"/>
    </xf>
    <xf numFmtId="169" fontId="5" fillId="0" borderId="0" xfId="0" applyNumberFormat="1" applyFont="1" applyAlignment="1">
      <alignment horizontal="left" vertical="center"/>
    </xf>
    <xf numFmtId="169" fontId="5" fillId="0" borderId="0" xfId="0" applyNumberFormat="1" applyFont="1" applyAlignment="1">
      <alignment horizontal="center" vertical="center"/>
    </xf>
    <xf numFmtId="169" fontId="5" fillId="0" borderId="0" xfId="0" applyNumberFormat="1" applyFont="1"/>
    <xf numFmtId="169" fontId="25" fillId="0" borderId="0" xfId="0" applyNumberFormat="1" applyFont="1" applyAlignment="1">
      <alignment horizontal="center" vertical="center"/>
    </xf>
    <xf numFmtId="169" fontId="21" fillId="0" borderId="0" xfId="0" applyNumberFormat="1" applyFont="1" applyAlignment="1">
      <alignment horizontal="center" vertical="center"/>
    </xf>
    <xf numFmtId="169" fontId="5" fillId="0" borderId="0" xfId="0" applyNumberFormat="1" applyFont="1" applyAlignment="1">
      <alignment horizontal="right" vertical="center"/>
    </xf>
    <xf numFmtId="169" fontId="5" fillId="0" borderId="0" xfId="1" applyNumberFormat="1" applyFont="1" applyAlignment="1">
      <alignment vertical="center"/>
    </xf>
    <xf numFmtId="0" fontId="5" fillId="0" borderId="0" xfId="0" applyFont="1" applyAlignment="1">
      <alignment horizontal="left"/>
    </xf>
    <xf numFmtId="0" fontId="0" fillId="0" borderId="0" xfId="0" applyAlignment="1">
      <alignment horizontal="center" vertical="center"/>
    </xf>
    <xf numFmtId="10" fontId="0" fillId="0" borderId="0" xfId="0" applyNumberFormat="1" applyAlignment="1">
      <alignment vertical="center"/>
    </xf>
    <xf numFmtId="37" fontId="0" fillId="0" borderId="0" xfId="0" applyNumberFormat="1" applyAlignment="1">
      <alignment vertical="center"/>
    </xf>
    <xf numFmtId="9" fontId="5" fillId="8" borderId="2" xfId="2" applyFont="1" applyFill="1" applyBorder="1" applyAlignment="1">
      <alignment vertical="center"/>
    </xf>
    <xf numFmtId="10" fontId="5" fillId="0" borderId="0" xfId="2" applyNumberFormat="1" applyFont="1" applyAlignment="1">
      <alignment horizontal="center" vertical="center"/>
    </xf>
    <xf numFmtId="9" fontId="5" fillId="0" borderId="0" xfId="0" applyNumberFormat="1" applyFont="1" applyAlignment="1">
      <alignment vertical="center"/>
    </xf>
    <xf numFmtId="0" fontId="26" fillId="9" borderId="3" xfId="0" applyFont="1" applyFill="1" applyBorder="1" applyAlignment="1">
      <alignment vertical="center"/>
    </xf>
    <xf numFmtId="0" fontId="26" fillId="9" borderId="4" xfId="0" applyFont="1" applyFill="1" applyBorder="1" applyAlignment="1">
      <alignment vertical="center"/>
    </xf>
    <xf numFmtId="0" fontId="0" fillId="10" borderId="5" xfId="0" applyFill="1" applyBorder="1" applyAlignment="1">
      <alignment vertical="center"/>
    </xf>
    <xf numFmtId="10" fontId="0" fillId="10" borderId="5" xfId="0" applyNumberFormat="1" applyFill="1" applyBorder="1" applyAlignment="1">
      <alignment vertical="center"/>
    </xf>
    <xf numFmtId="0" fontId="0" fillId="0" borderId="5" xfId="0" applyBorder="1" applyAlignment="1">
      <alignment vertical="center"/>
    </xf>
    <xf numFmtId="10" fontId="0" fillId="0" borderId="5" xfId="0" applyNumberFormat="1" applyBorder="1" applyAlignment="1">
      <alignment vertical="center"/>
    </xf>
    <xf numFmtId="0" fontId="0" fillId="0" borderId="6" xfId="0" applyBorder="1" applyAlignment="1">
      <alignment vertical="center"/>
    </xf>
    <xf numFmtId="10" fontId="0" fillId="0" borderId="6" xfId="0" applyNumberFormat="1" applyBorder="1" applyAlignment="1">
      <alignment vertical="center"/>
    </xf>
  </cellXfs>
  <cellStyles count="3">
    <cellStyle name="Comma" xfId="1" builtinId="3"/>
    <cellStyle name="Normal" xfId="0" builtinId="0"/>
    <cellStyle name="Percent" xfId="2" builtinId="5"/>
  </cellStyles>
  <dxfs count="17">
    <dxf>
      <font>
        <b val="0"/>
        <i val="0"/>
        <strike val="0"/>
        <condense val="0"/>
        <extend val="0"/>
        <outline val="0"/>
        <shadow val="0"/>
        <u val="none"/>
        <vertAlign val="baseline"/>
        <sz val="12"/>
        <color theme="1"/>
        <name val="Calibri"/>
        <family val="2"/>
        <scheme val="minor"/>
      </font>
      <numFmt numFmtId="14" formatCode="0.00%"/>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numFmt numFmtId="14" formatCode="0.00%"/>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bottom style="thin">
          <color theme="9" tint="0.39997558519241921"/>
        </bottom>
      </border>
    </dxf>
    <dxf>
      <border outline="0">
        <left style="thin">
          <color theme="9" tint="0.39997558519241921"/>
        </left>
        <top style="thin">
          <color theme="9" tint="0.39997558519241921"/>
        </top>
        <bottom style="thin">
          <color theme="9" tint="0.39997558519241921"/>
        </bottom>
      </border>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theme="9"/>
          <bgColor theme="9"/>
        </patternFill>
      </fill>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numFmt numFmtId="14"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Starbucks</a:t>
            </a:r>
            <a:r>
              <a:rPr lang="en-GB" b="1" baseline="0"/>
              <a:t> Benchmark</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v>STARBUCKS</c:v>
          </c:tx>
          <c:spPr>
            <a:ln w="19050" cap="rnd">
              <a:noFill/>
              <a:round/>
            </a:ln>
            <a:effectLst/>
          </c:spPr>
          <c:marker>
            <c:symbol val="circle"/>
            <c:size val="8"/>
            <c:spPr>
              <a:solidFill>
                <a:srgbClr val="00B050"/>
              </a:solidFill>
              <a:ln w="9525">
                <a:solidFill>
                  <a:srgbClr val="00B050"/>
                </a:solidFill>
              </a:ln>
              <a:effectLst/>
            </c:spPr>
          </c:marker>
          <c:dLbls>
            <c:dLbl>
              <c:idx val="0"/>
              <c:layout>
                <c:manualLayout>
                  <c:x val="-0.10689508656330694"/>
                  <c:y val="3.0369743801563959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EF09EBD9-1513-534B-B751-8E20287BDD11}" type="CELLRANGE">
                      <a:rPr lang="en-US" b="1">
                        <a:solidFill>
                          <a:schemeClr val="bg1"/>
                        </a:solidFill>
                      </a:rPr>
                      <a:pPr>
                        <a:defRPr sz="1200" b="1">
                          <a:solidFill>
                            <a:schemeClr val="bg1"/>
                          </a:solidFill>
                        </a:defRPr>
                      </a:pPr>
                      <a:t>[CELLRANGE]</a:t>
                    </a:fld>
                    <a:endParaRPr lang="en-SG"/>
                  </a:p>
                </c:rich>
              </c:tx>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SG"/>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CCC-432F-B854-5AD732DB59C1}"/>
                </c:ext>
              </c:extLst>
            </c:dLbl>
            <c:dLbl>
              <c:idx val="1"/>
              <c:layout>
                <c:manualLayout>
                  <c:x val="-6.230215906548763E-3"/>
                  <c:y val="-4.3162498539065897E-2"/>
                </c:manualLayout>
              </c:layout>
              <c:tx>
                <c:rich>
                  <a:bodyPr/>
                  <a:lstStyle/>
                  <a:p>
                    <a:fld id="{CE8C18C2-274D-6F49-9584-1F44F65FCE2C}"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CCC-432F-B854-5AD732DB59C1}"/>
                </c:ext>
              </c:extLst>
            </c:dLbl>
            <c:dLbl>
              <c:idx val="2"/>
              <c:layout>
                <c:manualLayout>
                  <c:x val="1.3509910150134136E-2"/>
                  <c:y val="-2.7792640433506582E-2"/>
                </c:manualLayout>
              </c:layout>
              <c:tx>
                <c:rich>
                  <a:bodyPr/>
                  <a:lstStyle/>
                  <a:p>
                    <a:fld id="{F03A8827-45CB-BE44-9133-C49251555E4E}"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CCC-432F-B854-5AD732DB59C1}"/>
                </c:ext>
              </c:extLst>
            </c:dLbl>
            <c:dLbl>
              <c:idx val="3"/>
              <c:tx>
                <c:rich>
                  <a:bodyPr/>
                  <a:lstStyle/>
                  <a:p>
                    <a:fld id="{C068665F-ADAF-428D-9D5F-108B78CC14F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CC-432F-B854-5AD732DB59C1}"/>
                </c:ext>
              </c:extLst>
            </c:dLbl>
            <c:dLbl>
              <c:idx val="4"/>
              <c:layout>
                <c:manualLayout>
                  <c:x val="-0.10334997720371968"/>
                  <c:y val="4.1159501413074423E-2"/>
                </c:manualLayout>
              </c:layout>
              <c:tx>
                <c:rich>
                  <a:bodyPr/>
                  <a:lstStyle/>
                  <a:p>
                    <a:fld id="{D94081F9-4619-E24C-A98D-48127E3A9EFC}"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CCC-432F-B854-5AD732DB59C1}"/>
                </c:ext>
              </c:extLst>
            </c:dLbl>
            <c:dLbl>
              <c:idx val="5"/>
              <c:layout>
                <c:manualLayout>
                  <c:x val="-5.5344256841178913E-2"/>
                  <c:y val="4.3377619760103077E-2"/>
                </c:manualLayout>
              </c:layout>
              <c:tx>
                <c:rich>
                  <a:bodyPr/>
                  <a:lstStyle/>
                  <a:p>
                    <a:fld id="{541F3527-54D8-224F-BDFC-1325B4A627B0}"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CCC-432F-B854-5AD732DB59C1}"/>
                </c:ext>
              </c:extLst>
            </c:dLbl>
            <c:dLbl>
              <c:idx val="6"/>
              <c:layout>
                <c:manualLayout>
                  <c:x val="-0.12983193706848206"/>
                  <c:y val="2.9162506166783665E-2"/>
                </c:manualLayout>
              </c:layout>
              <c:tx>
                <c:rich>
                  <a:bodyPr/>
                  <a:lstStyle/>
                  <a:p>
                    <a:fld id="{17EF7803-1483-2044-A4E0-D41EE38AA072}"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CCC-432F-B854-5AD732DB59C1}"/>
                </c:ext>
              </c:extLst>
            </c:dLbl>
            <c:dLbl>
              <c:idx val="7"/>
              <c:layout>
                <c:manualLayout>
                  <c:x val="-9.6059471516660805E-2"/>
                  <c:y val="-4.4838281088246057E-2"/>
                </c:manualLayout>
              </c:layout>
              <c:tx>
                <c:rich>
                  <a:bodyPr/>
                  <a:lstStyle/>
                  <a:p>
                    <a:fld id="{60CC6513-A951-E94F-B9C7-2C409260C957}"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CCC-432F-B854-5AD732DB59C1}"/>
                </c:ext>
              </c:extLst>
            </c:dLbl>
            <c:dLbl>
              <c:idx val="8"/>
              <c:tx>
                <c:rich>
                  <a:bodyPr/>
                  <a:lstStyle/>
                  <a:p>
                    <a:fld id="{A6CF22FD-CD9D-4B9D-ABF5-86A79D4DBA78}"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CC-432F-B854-5AD732DB59C1}"/>
                </c:ext>
              </c:extLst>
            </c:dLbl>
            <c:dLbl>
              <c:idx val="9"/>
              <c:layout>
                <c:manualLayout>
                  <c:x val="-0.13997846990165314"/>
                  <c:y val="-3.8985700705652888E-2"/>
                </c:manualLayout>
              </c:layout>
              <c:tx>
                <c:rich>
                  <a:bodyPr/>
                  <a:lstStyle/>
                  <a:p>
                    <a:fld id="{B9A90F08-3F9D-8D44-965D-EB5BE170C6D8}"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CCC-432F-B854-5AD732DB59C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(STARBUCKS)'!$BE$302:$BE$311</c:f>
              <c:numCache>
                <c:formatCode>0.00%</c:formatCode>
                <c:ptCount val="10"/>
                <c:pt idx="0">
                  <c:v>4.2961434297775582E-2</c:v>
                </c:pt>
                <c:pt idx="1">
                  <c:v>4.5361945771062541E-2</c:v>
                </c:pt>
                <c:pt idx="2">
                  <c:v>-2.3310180502169132E-2</c:v>
                </c:pt>
                <c:pt idx="3">
                  <c:v>0.16029411764705886</c:v>
                </c:pt>
                <c:pt idx="4">
                  <c:v>2.3041115706311111E-2</c:v>
                </c:pt>
                <c:pt idx="5">
                  <c:v>8.8227705427830469E-2</c:v>
                </c:pt>
                <c:pt idx="6">
                  <c:v>0.15460075628870507</c:v>
                </c:pt>
                <c:pt idx="7">
                  <c:v>4.2993688831976684E-2</c:v>
                </c:pt>
                <c:pt idx="8">
                  <c:v>5.2812384813859171E-2</c:v>
                </c:pt>
                <c:pt idx="9">
                  <c:v>3.3809726962457265E-2</c:v>
                </c:pt>
              </c:numCache>
            </c:numRef>
          </c:xVal>
          <c:yVal>
            <c:numRef>
              <c:f>'Benchmarking (STARBUCKS)'!$BF$302:$BF$311</c:f>
              <c:numCache>
                <c:formatCode>0.00%</c:formatCode>
                <c:ptCount val="10"/>
                <c:pt idx="0">
                  <c:v>1.7887227272861184E-2</c:v>
                </c:pt>
                <c:pt idx="1">
                  <c:v>1.9289695319166578E-2</c:v>
                </c:pt>
                <c:pt idx="2">
                  <c:v>1.5931178122619016E-4</c:v>
                </c:pt>
                <c:pt idx="3">
                  <c:v>3.5002220240370141E-2</c:v>
                </c:pt>
                <c:pt idx="4">
                  <c:v>1.7003278007729605E-2</c:v>
                </c:pt>
                <c:pt idx="5">
                  <c:v>1.7514263082706982E-2</c:v>
                </c:pt>
                <c:pt idx="6">
                  <c:v>3.1129470010790472E-2</c:v>
                </c:pt>
                <c:pt idx="7">
                  <c:v>1.5677006646583003E-2</c:v>
                </c:pt>
                <c:pt idx="8">
                  <c:v>2.4766727078986417E-2</c:v>
                </c:pt>
                <c:pt idx="9">
                  <c:v>1.8146130604321797E-2</c:v>
                </c:pt>
              </c:numCache>
            </c:numRef>
          </c:yVal>
          <c:smooth val="0"/>
          <c:extLst>
            <c:ext xmlns:c15="http://schemas.microsoft.com/office/drawing/2012/chart" uri="{02D57815-91ED-43cb-92C2-25804820EDAC}">
              <c15:datalabelsRange>
                <c15:f>'Benchmarking (STARBUCKS)'!$BD$302:$BD$311</c15:f>
                <c15:dlblRangeCache>
                  <c:ptCount val="10"/>
                  <c:pt idx="0">
                    <c:v>Starbucks Rev</c:v>
                  </c:pt>
                  <c:pt idx="1">
                    <c:v>SB Company-Op</c:v>
                  </c:pt>
                  <c:pt idx="2">
                    <c:v>SB Licensed</c:v>
                  </c:pt>
                  <c:pt idx="3">
                    <c:v>SB Royalty</c:v>
                  </c:pt>
                  <c:pt idx="4">
                    <c:v>SB North America</c:v>
                  </c:pt>
                  <c:pt idx="5">
                    <c:v>SB International</c:v>
                  </c:pt>
                  <c:pt idx="6">
                    <c:v>SB Channel Devt</c:v>
                  </c:pt>
                  <c:pt idx="7">
                    <c:v>SB Beverage</c:v>
                  </c:pt>
                  <c:pt idx="8">
                    <c:v>SB Food</c:v>
                  </c:pt>
                  <c:pt idx="9">
                    <c:v>SB Packaged Drinks</c:v>
                  </c:pt>
                </c15:dlblRangeCache>
              </c15:datalabelsRange>
            </c:ext>
            <c:ext xmlns:c16="http://schemas.microsoft.com/office/drawing/2014/chart" uri="{C3380CC4-5D6E-409C-BE32-E72D297353CC}">
              <c16:uniqueId val="{0000000A-1CCC-432F-B854-5AD732DB59C1}"/>
            </c:ext>
          </c:extLst>
        </c:ser>
        <c:ser>
          <c:idx val="1"/>
          <c:order val="1"/>
          <c:tx>
            <c:v>CAGR Line</c:v>
          </c:tx>
          <c:spPr>
            <a:ln w="25400" cap="rnd">
              <a:solidFill>
                <a:srgbClr val="7030A0"/>
              </a:solidFill>
              <a:round/>
            </a:ln>
            <a:effectLst/>
          </c:spPr>
          <c:marker>
            <c:symbol val="circle"/>
            <c:size val="5"/>
            <c:spPr>
              <a:solidFill>
                <a:schemeClr val="accent2"/>
              </a:solidFill>
              <a:ln w="9525">
                <a:solidFill>
                  <a:schemeClr val="accent2"/>
                </a:solidFill>
              </a:ln>
              <a:effectLst/>
            </c:spPr>
          </c:marker>
          <c:dLbls>
            <c:dLbl>
              <c:idx val="0"/>
              <c:layout>
                <c:manualLayout>
                  <c:x val="-7.193744963639695E-2"/>
                  <c:y val="-7.8442773011733538E-3"/>
                </c:manualLayout>
              </c:layout>
              <c:tx>
                <c:rich>
                  <a:bodyPr/>
                  <a:lstStyle/>
                  <a:p>
                    <a:fld id="{3378815D-C4EC-D946-8DC0-442460749D49}"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CCC-432F-B854-5AD732DB59C1}"/>
                </c:ext>
              </c:extLst>
            </c:dLbl>
            <c:dLbl>
              <c:idx val="1"/>
              <c:tx>
                <c:rich>
                  <a:bodyPr/>
                  <a:lstStyle/>
                  <a:p>
                    <a:fld id="{0A476501-8A5F-4FEB-BBA1-983E5AAD3476}"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CC-432F-B854-5AD732DB59C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(STARBUCKS)'!$BE$320:$BE$321</c:f>
              <c:numCache>
                <c:formatCode>0.00%</c:formatCode>
                <c:ptCount val="2"/>
                <c:pt idx="0">
                  <c:v>-2.3310180502169132E-2</c:v>
                </c:pt>
                <c:pt idx="1">
                  <c:v>0.16029411764705886</c:v>
                </c:pt>
              </c:numCache>
            </c:numRef>
          </c:xVal>
          <c:yVal>
            <c:numRef>
              <c:f>'Benchmarking (STARBUCKS)'!$BF$320:$BF$321</c:f>
              <c:numCache>
                <c:formatCode>0.00%</c:formatCode>
                <c:ptCount val="2"/>
                <c:pt idx="0">
                  <c:v>1.801667893859149E-2</c:v>
                </c:pt>
                <c:pt idx="1">
                  <c:v>1.801667893859149E-2</c:v>
                </c:pt>
              </c:numCache>
            </c:numRef>
          </c:yVal>
          <c:smooth val="0"/>
          <c:extLst>
            <c:ext xmlns:c15="http://schemas.microsoft.com/office/drawing/2012/chart" uri="{02D57815-91ED-43cb-92C2-25804820EDAC}">
              <c15:datalabelsRange>
                <c15:f>'Benchmarking (STARBUCKS)'!$BD$320:$BD$321</c15:f>
                <c15:dlblRangeCache>
                  <c:ptCount val="2"/>
                  <c:pt idx="0">
                    <c:v>50%</c:v>
                  </c:pt>
                  <c:pt idx="1">
                    <c:v>50%</c:v>
                  </c:pt>
                </c15:dlblRangeCache>
              </c15:datalabelsRange>
            </c:ext>
            <c:ext xmlns:c16="http://schemas.microsoft.com/office/drawing/2014/chart" uri="{C3380CC4-5D6E-409C-BE32-E72D297353CC}">
              <c16:uniqueId val="{0000000D-1CCC-432F-B854-5AD732DB59C1}"/>
            </c:ext>
          </c:extLst>
        </c:ser>
        <c:ser>
          <c:idx val="2"/>
          <c:order val="2"/>
          <c:tx>
            <c:v>YOY Line</c:v>
          </c:tx>
          <c:spPr>
            <a:ln w="25400" cap="rnd">
              <a:solidFill>
                <a:srgbClr val="7030A0"/>
              </a:solidFill>
              <a:round/>
            </a:ln>
            <a:effectLst/>
          </c:spPr>
          <c:marker>
            <c:symbol val="circle"/>
            <c:size val="5"/>
            <c:spPr>
              <a:solidFill>
                <a:schemeClr val="accent3"/>
              </a:solidFill>
              <a:ln w="9525">
                <a:solidFill>
                  <a:schemeClr val="accent3"/>
                </a:solidFill>
              </a:ln>
              <a:effectLst/>
            </c:spPr>
          </c:marker>
          <c:dLbls>
            <c:dLbl>
              <c:idx val="0"/>
              <c:layout>
                <c:manualLayout>
                  <c:x val="-3.2841009616615999E-2"/>
                  <c:y val="4.1836145606257633E-2"/>
                </c:manualLayout>
              </c:layout>
              <c:tx>
                <c:rich>
                  <a:bodyPr/>
                  <a:lstStyle/>
                  <a:p>
                    <a:fld id="{24C6B857-4D76-7A45-9354-98E47AF5205E}"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CC-432F-B854-5AD732DB59C1}"/>
                </c:ext>
              </c:extLst>
            </c:dLbl>
            <c:dLbl>
              <c:idx val="1"/>
              <c:layout>
                <c:manualLayout>
                  <c:x val="-3.9096440019780951E-2"/>
                  <c:y val="-4.1836145606257646E-2"/>
                </c:manualLayout>
              </c:layout>
              <c:tx>
                <c:rich>
                  <a:bodyPr/>
                  <a:lstStyle/>
                  <a:p>
                    <a:fld id="{074D72FF-5A30-B249-9673-7BA442510048}"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CCC-432F-B854-5AD732DB59C1}"/>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(STARBUCKS)'!$BE$323:$BE$324</c:f>
              <c:numCache>
                <c:formatCode>0.00%</c:formatCode>
                <c:ptCount val="2"/>
                <c:pt idx="0">
                  <c:v>4.4177817301519609E-2</c:v>
                </c:pt>
                <c:pt idx="1">
                  <c:v>4.4177817301519609E-2</c:v>
                </c:pt>
              </c:numCache>
            </c:numRef>
          </c:xVal>
          <c:yVal>
            <c:numRef>
              <c:f>'Benchmarking (STARBUCKS)'!$BF$323:$BF$324</c:f>
              <c:numCache>
                <c:formatCode>0.00%</c:formatCode>
                <c:ptCount val="2"/>
                <c:pt idx="0">
                  <c:v>1.5931178122619016E-4</c:v>
                </c:pt>
                <c:pt idx="1">
                  <c:v>3.5002220240370141E-2</c:v>
                </c:pt>
              </c:numCache>
            </c:numRef>
          </c:yVal>
          <c:smooth val="0"/>
          <c:extLst>
            <c:ext xmlns:c15="http://schemas.microsoft.com/office/drawing/2012/chart" uri="{02D57815-91ED-43cb-92C2-25804820EDAC}">
              <c15:datalabelsRange>
                <c15:f>'Benchmarking (STARBUCKS)'!$BD$323:$BD$324</c15:f>
                <c15:dlblRangeCache>
                  <c:ptCount val="2"/>
                  <c:pt idx="0">
                    <c:v>50%</c:v>
                  </c:pt>
                  <c:pt idx="1">
                    <c:v>50%</c:v>
                  </c:pt>
                </c15:dlblRangeCache>
              </c15:datalabelsRange>
            </c:ext>
            <c:ext xmlns:c16="http://schemas.microsoft.com/office/drawing/2014/chart" uri="{C3380CC4-5D6E-409C-BE32-E72D297353CC}">
              <c16:uniqueId val="{00000010-1CCC-432F-B854-5AD732DB59C1}"/>
            </c:ext>
          </c:extLst>
        </c:ser>
        <c:dLbls>
          <c:showLegendKey val="0"/>
          <c:showVal val="0"/>
          <c:showCatName val="0"/>
          <c:showSerName val="0"/>
          <c:showPercent val="0"/>
          <c:showBubbleSize val="0"/>
        </c:dLbls>
        <c:axId val="241860847"/>
        <c:axId val="744356031"/>
      </c:scatterChart>
      <c:valAx>
        <c:axId val="2418608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1"/>
                  <a:t>YOY (TTM)</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44356031"/>
        <c:crosses val="autoZero"/>
        <c:crossBetween val="midCat"/>
      </c:valAx>
      <c:valAx>
        <c:axId val="74435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1"/>
                  <a:t>CAGR 5Q</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41860847"/>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GB" b="1">
                <a:solidFill>
                  <a:schemeClr val="accent6">
                    <a:lumMod val="75000"/>
                  </a:schemeClr>
                </a:solidFill>
              </a:rPr>
              <a:t>F&amp;B Benchmark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lotArea>
      <c:layout/>
      <c:scatterChart>
        <c:scatterStyle val="lineMarker"/>
        <c:varyColors val="0"/>
        <c:ser>
          <c:idx val="0"/>
          <c:order val="0"/>
          <c:tx>
            <c:v>STARBUCKS</c:v>
          </c:tx>
          <c:spPr>
            <a:ln w="19050" cap="rnd">
              <a:noFill/>
              <a:round/>
            </a:ln>
            <a:effectLst/>
          </c:spPr>
          <c:marker>
            <c:symbol val="circle"/>
            <c:size val="8"/>
            <c:spPr>
              <a:solidFill>
                <a:schemeClr val="accent6"/>
              </a:solidFill>
              <a:ln w="9525">
                <a:solidFill>
                  <a:schemeClr val="accent6"/>
                </a:solidFill>
              </a:ln>
              <a:effectLst/>
            </c:spPr>
          </c:marker>
          <c:dLbls>
            <c:dLbl>
              <c:idx val="0"/>
              <c:layout>
                <c:manualLayout>
                  <c:x val="-0.13125845737483086"/>
                  <c:y val="-4.6142754145638065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F4DD8E83-4290-D94A-AAD8-20D6D367D756}" type="CELLRANGE">
                      <a:rPr lang="en-US"/>
                      <a:pPr>
                        <a:defRPr sz="1200" b="1">
                          <a:solidFill>
                            <a:schemeClr val="bg1"/>
                          </a:solidFill>
                        </a:defRPr>
                      </a:pPr>
                      <a:t>[CELLRANGE]</a:t>
                    </a:fld>
                    <a:endParaRPr lang="en-SG"/>
                  </a:p>
                </c:rich>
              </c:tx>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SG"/>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1E1-4272-9B7B-CDDADD78C6F2}"/>
                </c:ext>
              </c:extLst>
            </c:dLbl>
            <c:dLbl>
              <c:idx val="1"/>
              <c:layout>
                <c:manualLayout>
                  <c:x val="-2.4357239512855209E-2"/>
                  <c:y val="-3.172314347512617E-2"/>
                </c:manualLayout>
              </c:layout>
              <c:tx>
                <c:rich>
                  <a:bodyPr/>
                  <a:lstStyle/>
                  <a:p>
                    <a:fld id="{2C543411-0CCB-E548-A657-A96347464C71}"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1E1-4272-9B7B-CDDADD78C6F2}"/>
                </c:ext>
              </c:extLst>
            </c:dLbl>
            <c:dLbl>
              <c:idx val="2"/>
              <c:layout>
                <c:manualLayout>
                  <c:x val="-9.4722598105548041E-3"/>
                  <c:y val="-2.4513338139870118E-2"/>
                </c:manualLayout>
              </c:layout>
              <c:tx>
                <c:rich>
                  <a:bodyPr/>
                  <a:lstStyle/>
                  <a:p>
                    <a:fld id="{E96B3CD8-C8A6-8446-9E4F-0B76697B4250}"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1E1-4272-9B7B-CDDADD78C6F2}"/>
                </c:ext>
              </c:extLst>
            </c:dLbl>
            <c:dLbl>
              <c:idx val="3"/>
              <c:tx>
                <c:rich>
                  <a:bodyPr/>
                  <a:lstStyle/>
                  <a:p>
                    <a:fld id="{D1F61CFB-876C-4C53-88F4-4494C736E9C2}"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1E1-4272-9B7B-CDDADD78C6F2}"/>
                </c:ext>
              </c:extLst>
            </c:dLbl>
            <c:dLbl>
              <c:idx val="4"/>
              <c:layout>
                <c:manualLayout>
                  <c:x val="-0.13937753721244925"/>
                  <c:y val="7.2098053352559477E-3"/>
                </c:manualLayout>
              </c:layout>
              <c:tx>
                <c:rich>
                  <a:bodyPr/>
                  <a:lstStyle/>
                  <a:p>
                    <a:fld id="{38124738-DD89-E34C-94F5-5B765B37CD2D}"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1E1-4272-9B7B-CDDADD78C6F2}"/>
                </c:ext>
              </c:extLst>
            </c:dLbl>
            <c:dLbl>
              <c:idx val="5"/>
              <c:layout>
                <c:manualLayout>
                  <c:x val="-2.0297699594046106E-2"/>
                  <c:y val="-2.5955299206921412E-2"/>
                </c:manualLayout>
              </c:layout>
              <c:tx>
                <c:rich>
                  <a:bodyPr/>
                  <a:lstStyle/>
                  <a:p>
                    <a:fld id="{D59ACED4-6E24-B641-B612-29B6CAC380C3}"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1E1-4272-9B7B-CDDADD78C6F2}"/>
                </c:ext>
              </c:extLst>
            </c:dLbl>
            <c:dLbl>
              <c:idx val="6"/>
              <c:tx>
                <c:rich>
                  <a:bodyPr/>
                  <a:lstStyle/>
                  <a:p>
                    <a:fld id="{352D3FBE-74CB-4128-90B3-031B88137F53}"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1E1-4272-9B7B-CDDADD78C6F2}"/>
                </c:ext>
              </c:extLst>
            </c:dLbl>
            <c:dLbl>
              <c:idx val="7"/>
              <c:layout>
                <c:manualLayout>
                  <c:x val="-5.9539918809201724E-2"/>
                  <c:y val="2.3071377072819033E-2"/>
                </c:manualLayout>
              </c:layout>
              <c:tx>
                <c:rich>
                  <a:bodyPr/>
                  <a:lstStyle/>
                  <a:p>
                    <a:fld id="{7EAFF23A-14D8-DC43-B72A-8F8647F2F55A}"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1E1-4272-9B7B-CDDADD78C6F2}"/>
                </c:ext>
              </c:extLst>
            </c:dLbl>
            <c:dLbl>
              <c:idx val="8"/>
              <c:tx>
                <c:rich>
                  <a:bodyPr/>
                  <a:lstStyle/>
                  <a:p>
                    <a:fld id="{2268A17E-099B-45AF-B6EB-A0B136E48851}"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1E1-4272-9B7B-CDDADD78C6F2}"/>
                </c:ext>
              </c:extLst>
            </c:dLbl>
            <c:dLbl>
              <c:idx val="9"/>
              <c:layout>
                <c:manualLayout>
                  <c:x val="-0.15020297699594051"/>
                  <c:y val="-2.883922134102432E-3"/>
                </c:manualLayout>
              </c:layout>
              <c:tx>
                <c:rich>
                  <a:bodyPr/>
                  <a:lstStyle/>
                  <a:p>
                    <a:fld id="{42A2E86C-B6B7-8145-ADC8-35EC9390C2A0}"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1E1-4272-9B7B-CDDADD78C6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(STARBUCKS)'!$BE$234:$BE$243</c:f>
              <c:numCache>
                <c:formatCode>0.00%</c:formatCode>
                <c:ptCount val="10"/>
                <c:pt idx="0">
                  <c:v>4.2961434297775582E-2</c:v>
                </c:pt>
                <c:pt idx="1">
                  <c:v>4.5361945771062541E-2</c:v>
                </c:pt>
                <c:pt idx="2">
                  <c:v>-2.3310180502169132E-2</c:v>
                </c:pt>
                <c:pt idx="3">
                  <c:v>0.16029411764705886</c:v>
                </c:pt>
                <c:pt idx="4">
                  <c:v>2.3041115706311111E-2</c:v>
                </c:pt>
                <c:pt idx="5">
                  <c:v>8.8227705427830469E-2</c:v>
                </c:pt>
                <c:pt idx="6">
                  <c:v>0.15460075628870507</c:v>
                </c:pt>
                <c:pt idx="7">
                  <c:v>4.2993688831976684E-2</c:v>
                </c:pt>
                <c:pt idx="8">
                  <c:v>5.2812384813859171E-2</c:v>
                </c:pt>
                <c:pt idx="9">
                  <c:v>3.3809726962457265E-2</c:v>
                </c:pt>
              </c:numCache>
            </c:numRef>
          </c:xVal>
          <c:yVal>
            <c:numRef>
              <c:f>'Benchmarking (STARBUCKS)'!$BF$234:$BF$243</c:f>
              <c:numCache>
                <c:formatCode>0.00%</c:formatCode>
                <c:ptCount val="10"/>
                <c:pt idx="0">
                  <c:v>1.7887227272861184E-2</c:v>
                </c:pt>
                <c:pt idx="1">
                  <c:v>1.9289695319166578E-2</c:v>
                </c:pt>
                <c:pt idx="2">
                  <c:v>1.5931178122619016E-4</c:v>
                </c:pt>
                <c:pt idx="3">
                  <c:v>3.5002220240370141E-2</c:v>
                </c:pt>
                <c:pt idx="4">
                  <c:v>1.7003278007729605E-2</c:v>
                </c:pt>
                <c:pt idx="5">
                  <c:v>1.7514263082706982E-2</c:v>
                </c:pt>
                <c:pt idx="6">
                  <c:v>3.1129470010790472E-2</c:v>
                </c:pt>
                <c:pt idx="7">
                  <c:v>1.5677006646583003E-2</c:v>
                </c:pt>
                <c:pt idx="8">
                  <c:v>2.4766727078986417E-2</c:v>
                </c:pt>
                <c:pt idx="9">
                  <c:v>1.8146130604321797E-2</c:v>
                </c:pt>
              </c:numCache>
            </c:numRef>
          </c:yVal>
          <c:smooth val="0"/>
          <c:extLst>
            <c:ext xmlns:c15="http://schemas.microsoft.com/office/drawing/2012/chart" uri="{02D57815-91ED-43cb-92C2-25804820EDAC}">
              <c15:datalabelsRange>
                <c15:f>'Benchmarking (STARBUCKS)'!$BD$234:$BD$243</c15:f>
                <c15:dlblRangeCache>
                  <c:ptCount val="10"/>
                  <c:pt idx="0">
                    <c:v>Starbucks Rev</c:v>
                  </c:pt>
                  <c:pt idx="1">
                    <c:v>SB Company-Op</c:v>
                  </c:pt>
                  <c:pt idx="2">
                    <c:v>SB Licensed</c:v>
                  </c:pt>
                  <c:pt idx="3">
                    <c:v>SB Royalty</c:v>
                  </c:pt>
                  <c:pt idx="4">
                    <c:v>SB North America</c:v>
                  </c:pt>
                  <c:pt idx="5">
                    <c:v>SB International</c:v>
                  </c:pt>
                  <c:pt idx="6">
                    <c:v>SB Channel Devt</c:v>
                  </c:pt>
                  <c:pt idx="7">
                    <c:v>SB Beverage</c:v>
                  </c:pt>
                  <c:pt idx="8">
                    <c:v>SB Food</c:v>
                  </c:pt>
                  <c:pt idx="9">
                    <c:v>SB Packaged Drinks</c:v>
                  </c:pt>
                </c15:dlblRangeCache>
              </c15:datalabelsRange>
            </c:ext>
            <c:ext xmlns:c16="http://schemas.microsoft.com/office/drawing/2014/chart" uri="{C3380CC4-5D6E-409C-BE32-E72D297353CC}">
              <c16:uniqueId val="{0000000A-51E1-4272-9B7B-CDDADD78C6F2}"/>
            </c:ext>
          </c:extLst>
        </c:ser>
        <c:ser>
          <c:idx val="1"/>
          <c:order val="1"/>
          <c:tx>
            <c:v>McDONALD's</c:v>
          </c:tx>
          <c:spPr>
            <a:ln w="25400" cap="rnd">
              <a:noFill/>
              <a:round/>
            </a:ln>
            <a:effectLst/>
          </c:spPr>
          <c:marker>
            <c:symbol val="circle"/>
            <c:size val="8"/>
            <c:spPr>
              <a:solidFill>
                <a:schemeClr val="accent4"/>
              </a:solidFill>
              <a:ln w="9525">
                <a:solidFill>
                  <a:schemeClr val="accent4"/>
                </a:solidFill>
              </a:ln>
              <a:effectLst/>
            </c:spPr>
          </c:marker>
          <c:dLbls>
            <c:dLbl>
              <c:idx val="0"/>
              <c:tx>
                <c:rich>
                  <a:bodyPr/>
                  <a:lstStyle/>
                  <a:p>
                    <a:fld id="{1ACCEB06-6BAD-6E46-89A8-CE3737EC2FF0}" type="CELLRANGE">
                      <a:rPr lang="en-US"/>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1E1-4272-9B7B-CDDADD78C6F2}"/>
                </c:ext>
              </c:extLst>
            </c:dLbl>
            <c:dLbl>
              <c:idx val="1"/>
              <c:tx>
                <c:rich>
                  <a:bodyPr/>
                  <a:lstStyle/>
                  <a:p>
                    <a:fld id="{B1A02968-B73A-4696-ADCE-2D94CE31EF75}"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1E1-4272-9B7B-CDDADD78C6F2}"/>
                </c:ext>
              </c:extLst>
            </c:dLbl>
            <c:dLbl>
              <c:idx val="2"/>
              <c:tx>
                <c:rich>
                  <a:bodyPr/>
                  <a:lstStyle/>
                  <a:p>
                    <a:fld id="{F4FE2A7F-2A6D-4430-985D-644F3872C40E}"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1E1-4272-9B7B-CDDADD78C6F2}"/>
                </c:ext>
              </c:extLst>
            </c:dLbl>
            <c:dLbl>
              <c:idx val="3"/>
              <c:tx>
                <c:rich>
                  <a:bodyPr/>
                  <a:lstStyle/>
                  <a:p>
                    <a:fld id="{44963A58-E72F-4A5A-A507-E5C9F9AE2610}"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1E1-4272-9B7B-CDDADD78C6F2}"/>
                </c:ext>
              </c:extLst>
            </c:dLbl>
            <c:dLbl>
              <c:idx val="4"/>
              <c:layout>
                <c:manualLayout>
                  <c:x val="1.0338294993234002E-2"/>
                  <c:y val="8.9618448018438934E-3"/>
                </c:manualLayout>
              </c:layout>
              <c:tx>
                <c:rich>
                  <a:bodyPr/>
                  <a:lstStyle/>
                  <a:p>
                    <a:fld id="{F7ECF842-338D-AD40-A7B1-D402C77606BB}"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51E1-4272-9B7B-CDDADD78C6F2}"/>
                </c:ext>
              </c:extLst>
            </c:dLbl>
            <c:dLbl>
              <c:idx val="5"/>
              <c:tx>
                <c:rich>
                  <a:bodyPr/>
                  <a:lstStyle/>
                  <a:p>
                    <a:fld id="{01609DAD-D8BD-4A6C-8432-293F7321A4BD}"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1E1-4272-9B7B-CDDADD78C6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(STARBUCKS)'!$BE$244:$BE$249</c:f>
              <c:numCache>
                <c:formatCode>0.00%</c:formatCode>
                <c:ptCount val="6"/>
                <c:pt idx="0">
                  <c:v>3.7228501986806065E-2</c:v>
                </c:pt>
                <c:pt idx="1">
                  <c:v>-9.4050296462891026E-3</c:v>
                </c:pt>
                <c:pt idx="2">
                  <c:v>5.304688693173143E-2</c:v>
                </c:pt>
                <c:pt idx="3">
                  <c:v>2.0813664185938243E-2</c:v>
                </c:pt>
                <c:pt idx="4">
                  <c:v>9.994575595768046E-2</c:v>
                </c:pt>
                <c:pt idx="5">
                  <c:v>-9.0170376675160438E-2</c:v>
                </c:pt>
              </c:numCache>
            </c:numRef>
          </c:xVal>
          <c:yVal>
            <c:numRef>
              <c:f>'Benchmarking (STARBUCKS)'!$BF$244:$BF$249</c:f>
              <c:numCache>
                <c:formatCode>0.00%</c:formatCode>
                <c:ptCount val="6"/>
                <c:pt idx="0">
                  <c:v>3.8973467989722455E-3</c:v>
                </c:pt>
                <c:pt idx="1">
                  <c:v>-9.1258941400198523E-3</c:v>
                </c:pt>
                <c:pt idx="2">
                  <c:v>1.0412633096245072E-2</c:v>
                </c:pt>
                <c:pt idx="3">
                  <c:v>-4.472833507324192E-3</c:v>
                </c:pt>
                <c:pt idx="4">
                  <c:v>1.7556261412216445E-2</c:v>
                </c:pt>
                <c:pt idx="5">
                  <c:v>-2.1362990053975572E-2</c:v>
                </c:pt>
              </c:numCache>
            </c:numRef>
          </c:yVal>
          <c:smooth val="0"/>
          <c:extLst>
            <c:ext xmlns:c15="http://schemas.microsoft.com/office/drawing/2012/chart" uri="{02D57815-91ED-43cb-92C2-25804820EDAC}">
              <c15:datalabelsRange>
                <c15:f>'Benchmarking (STARBUCKS)'!$BD$244:$BD$249</c15:f>
                <c15:dlblRangeCache>
                  <c:ptCount val="6"/>
                  <c:pt idx="0">
                    <c:v>McDonalds Rev</c:v>
                  </c:pt>
                  <c:pt idx="1">
                    <c:v>McD Company Op</c:v>
                  </c:pt>
                  <c:pt idx="2">
                    <c:v>McD Franchised</c:v>
                  </c:pt>
                  <c:pt idx="3">
                    <c:v>McD US</c:v>
                  </c:pt>
                  <c:pt idx="4">
                    <c:v>McD Int'l (Op)</c:v>
                  </c:pt>
                  <c:pt idx="5">
                    <c:v>McD Int'l (Licensed)</c:v>
                  </c:pt>
                </c15:dlblRangeCache>
              </c15:datalabelsRange>
            </c:ext>
            <c:ext xmlns:c16="http://schemas.microsoft.com/office/drawing/2014/chart" uri="{C3380CC4-5D6E-409C-BE32-E72D297353CC}">
              <c16:uniqueId val="{00000011-51E1-4272-9B7B-CDDADD78C6F2}"/>
            </c:ext>
          </c:extLst>
        </c:ser>
        <c:ser>
          <c:idx val="2"/>
          <c:order val="2"/>
          <c:tx>
            <c:v>REST BRANDS</c:v>
          </c:tx>
          <c:spPr>
            <a:ln w="25400" cap="rnd">
              <a:noFill/>
              <a:round/>
            </a:ln>
            <a:effectLst/>
          </c:spPr>
          <c:marker>
            <c:symbol val="circle"/>
            <c:size val="8"/>
            <c:spPr>
              <a:solidFill>
                <a:srgbClr val="FF0000"/>
              </a:solidFill>
              <a:ln w="9525">
                <a:solidFill>
                  <a:schemeClr val="accent2">
                    <a:lumMod val="75000"/>
                  </a:schemeClr>
                </a:solidFill>
              </a:ln>
              <a:effectLst/>
            </c:spPr>
          </c:marker>
          <c:dLbls>
            <c:dLbl>
              <c:idx val="0"/>
              <c:tx>
                <c:rich>
                  <a:bodyPr/>
                  <a:lstStyle/>
                  <a:p>
                    <a:fld id="{3F318761-C3EC-3C4A-8F93-26CCC25B28F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51E1-4272-9B7B-CDDADD78C6F2}"/>
                </c:ext>
              </c:extLst>
            </c:dLbl>
            <c:dLbl>
              <c:idx val="1"/>
              <c:tx>
                <c:rich>
                  <a:bodyPr/>
                  <a:lstStyle/>
                  <a:p>
                    <a:fld id="{45D2A81B-13A6-4991-BA68-3DEC2B215679}"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1E1-4272-9B7B-CDDADD78C6F2}"/>
                </c:ext>
              </c:extLst>
            </c:dLbl>
            <c:dLbl>
              <c:idx val="2"/>
              <c:tx>
                <c:rich>
                  <a:bodyPr/>
                  <a:lstStyle/>
                  <a:p>
                    <a:fld id="{29AED280-CBB5-4F9A-BE4C-62BF7A5644FB}"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1E1-4272-9B7B-CDDADD78C6F2}"/>
                </c:ext>
              </c:extLst>
            </c:dLbl>
            <c:dLbl>
              <c:idx val="3"/>
              <c:tx>
                <c:rich>
                  <a:bodyPr/>
                  <a:lstStyle/>
                  <a:p>
                    <a:fld id="{6D9E2A12-36E6-4C23-B5B2-D0E7920B9D4B}"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1E1-4272-9B7B-CDDADD78C6F2}"/>
                </c:ext>
              </c:extLst>
            </c:dLbl>
            <c:dLbl>
              <c:idx val="4"/>
              <c:tx>
                <c:rich>
                  <a:bodyPr/>
                  <a:lstStyle/>
                  <a:p>
                    <a:fld id="{7822F0C3-83FD-441A-944A-9AA41FFA30B8}"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1E1-4272-9B7B-CDDADD78C6F2}"/>
                </c:ext>
              </c:extLst>
            </c:dLbl>
            <c:dLbl>
              <c:idx val="5"/>
              <c:tx>
                <c:rich>
                  <a:bodyPr/>
                  <a:lstStyle/>
                  <a:p>
                    <a:fld id="{A36EE593-812C-418F-9B65-0774008F7DAE}"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1E1-4272-9B7B-CDDADD78C6F2}"/>
                </c:ext>
              </c:extLst>
            </c:dLbl>
            <c:dLbl>
              <c:idx val="6"/>
              <c:tx>
                <c:rich>
                  <a:bodyPr/>
                  <a:lstStyle/>
                  <a:p>
                    <a:fld id="{554046B5-CB15-4986-91C4-F9F39181293F}"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1E1-4272-9B7B-CDDADD78C6F2}"/>
                </c:ext>
              </c:extLst>
            </c:dLbl>
            <c:dLbl>
              <c:idx val="7"/>
              <c:tx>
                <c:rich>
                  <a:bodyPr/>
                  <a:lstStyle/>
                  <a:p>
                    <a:fld id="{941D9870-D926-4741-8413-6AAB20215657}"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1E1-4272-9B7B-CDDADD78C6F2}"/>
                </c:ext>
              </c:extLst>
            </c:dLbl>
            <c:dLbl>
              <c:idx val="8"/>
              <c:tx>
                <c:rich>
                  <a:bodyPr/>
                  <a:lstStyle/>
                  <a:p>
                    <a:fld id="{8A33985E-1C46-4C0F-9063-01BF7EF1806A}"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1E1-4272-9B7B-CDDADD78C6F2}"/>
                </c:ext>
              </c:extLst>
            </c:dLbl>
            <c:dLbl>
              <c:idx val="9"/>
              <c:tx>
                <c:rich>
                  <a:bodyPr/>
                  <a:lstStyle/>
                  <a:p>
                    <a:fld id="{74FC5D3C-2B98-4A75-B5A9-9B59AC3E146C}"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1E1-4272-9B7B-CDDADD78C6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(STARBUCKS)'!$BE$251:$BE$260</c:f>
              <c:numCache>
                <c:formatCode>0.00%</c:formatCode>
                <c:ptCount val="10"/>
                <c:pt idx="0">
                  <c:v>5.1237623762376235E-2</c:v>
                </c:pt>
                <c:pt idx="1">
                  <c:v>4.3418332184700204E-2</c:v>
                </c:pt>
                <c:pt idx="2">
                  <c:v>4.1666666666666664E-2</c:v>
                </c:pt>
                <c:pt idx="3">
                  <c:v>8.4112149532710276E-2</c:v>
                </c:pt>
                <c:pt idx="4">
                  <c:v>4.3973941368078175E-2</c:v>
                </c:pt>
                <c:pt idx="5">
                  <c:v>0.20459952418715305</c:v>
                </c:pt>
                <c:pt idx="6">
                  <c:v>9.79765708200213E-2</c:v>
                </c:pt>
                <c:pt idx="7">
                  <c:v>0.22227388979307139</c:v>
                </c:pt>
                <c:pt idx="8">
                  <c:v>-1.0033444816053512E-2</c:v>
                </c:pt>
                <c:pt idx="9">
                  <c:v>9.1479820627802688E-2</c:v>
                </c:pt>
              </c:numCache>
            </c:numRef>
          </c:xVal>
          <c:yVal>
            <c:numRef>
              <c:f>'Benchmarking (STARBUCKS)'!$BF$250:$BF$260</c:f>
              <c:numCache>
                <c:formatCode>0.00%</c:formatCode>
                <c:ptCount val="11"/>
                <c:pt idx="0">
                  <c:v>1.4830699697888194E-2</c:v>
                </c:pt>
                <c:pt idx="1">
                  <c:v>1.7034221711763164E-2</c:v>
                </c:pt>
                <c:pt idx="2">
                  <c:v>1.1341993632901781E-2</c:v>
                </c:pt>
                <c:pt idx="3">
                  <c:v>0</c:v>
                </c:pt>
                <c:pt idx="4">
                  <c:v>2.168079166422654E-2</c:v>
                </c:pt>
                <c:pt idx="5">
                  <c:v>-2.7199039030397776E-2</c:v>
                </c:pt>
                <c:pt idx="6">
                  <c:v>2.6901440385298736E-2</c:v>
                </c:pt>
                <c:pt idx="7">
                  <c:v>9.6640366105877895E-2</c:v>
                </c:pt>
                <c:pt idx="8">
                  <c:v>2.0179991917072648E-2</c:v>
                </c:pt>
                <c:pt idx="9">
                  <c:v>6.4469483190536803E-3</c:v>
                </c:pt>
                <c:pt idx="10">
                  <c:v>1.2116590262473359E-2</c:v>
                </c:pt>
              </c:numCache>
            </c:numRef>
          </c:yVal>
          <c:smooth val="0"/>
          <c:extLst>
            <c:ext xmlns:c15="http://schemas.microsoft.com/office/drawing/2012/chart" uri="{02D57815-91ED-43cb-92C2-25804820EDAC}">
              <c15:datalabelsRange>
                <c15:f>'Benchmarking (STARBUCKS)'!$BD$250:$BD$260</c15:f>
                <c15:dlblRangeCache>
                  <c:ptCount val="11"/>
                  <c:pt idx="0">
                    <c:v>Rest Brands Rev</c:v>
                  </c:pt>
                  <c:pt idx="1">
                    <c:v>RB Tim Horton</c:v>
                  </c:pt>
                  <c:pt idx="2">
                    <c:v>RB Burger King</c:v>
                  </c:pt>
                  <c:pt idx="3">
                    <c:v>RB Popeye's</c:v>
                  </c:pt>
                  <c:pt idx="4">
                    <c:v>RB Firehouse Subs</c:v>
                  </c:pt>
                  <c:pt idx="5">
                    <c:v>RB Canada</c:v>
                  </c:pt>
                  <c:pt idx="6">
                    <c:v>RB US</c:v>
                  </c:pt>
                  <c:pt idx="7">
                    <c:v>RB Others</c:v>
                  </c:pt>
                  <c:pt idx="8">
                    <c:v>RB Sales</c:v>
                  </c:pt>
                  <c:pt idx="9">
                    <c:v>RB Francise</c:v>
                  </c:pt>
                  <c:pt idx="10">
                    <c:v>RB Advertising</c:v>
                  </c:pt>
                </c15:dlblRangeCache>
              </c15:datalabelsRange>
            </c:ext>
            <c:ext xmlns:c16="http://schemas.microsoft.com/office/drawing/2014/chart" uri="{C3380CC4-5D6E-409C-BE32-E72D297353CC}">
              <c16:uniqueId val="{0000001C-51E1-4272-9B7B-CDDADD78C6F2}"/>
            </c:ext>
          </c:extLst>
        </c:ser>
        <c:ser>
          <c:idx val="3"/>
          <c:order val="3"/>
          <c:tx>
            <c:v>LUCKIN</c:v>
          </c:tx>
          <c:spPr>
            <a:ln w="25400" cap="rnd">
              <a:noFill/>
              <a:round/>
            </a:ln>
            <a:effectLst/>
          </c:spPr>
          <c:marker>
            <c:symbol val="circle"/>
            <c:size val="8"/>
            <c:spPr>
              <a:solidFill>
                <a:srgbClr val="00B0F0"/>
              </a:solidFill>
              <a:ln w="9525">
                <a:solidFill>
                  <a:schemeClr val="accent5"/>
                </a:solidFill>
              </a:ln>
              <a:effectLst/>
            </c:spPr>
          </c:marker>
          <c:dLbls>
            <c:dLbl>
              <c:idx val="0"/>
              <c:tx>
                <c:rich>
                  <a:bodyPr/>
                  <a:lstStyle/>
                  <a:p>
                    <a:fld id="{ADB9066F-EBDB-1F49-B98C-8DB1F61AA8A9}" type="CELLRANGE">
                      <a:rPr lang="en-US"/>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51E1-4272-9B7B-CDDADD78C6F2}"/>
                </c:ext>
              </c:extLst>
            </c:dLbl>
            <c:dLbl>
              <c:idx val="1"/>
              <c:tx>
                <c:rich>
                  <a:bodyPr/>
                  <a:lstStyle/>
                  <a:p>
                    <a:fld id="{21F41D0B-BB27-4976-965B-FDBBB9DC9D2E}"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1E1-4272-9B7B-CDDADD78C6F2}"/>
                </c:ext>
              </c:extLst>
            </c:dLbl>
            <c:dLbl>
              <c:idx val="2"/>
              <c:tx>
                <c:rich>
                  <a:bodyPr/>
                  <a:lstStyle/>
                  <a:p>
                    <a:fld id="{17EEC714-BEE7-474E-ABD7-CDBA3DEF8442}"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1E1-4272-9B7B-CDDADD78C6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(STARBUCKS)'!$BE$261:$BE$263</c:f>
              <c:numCache>
                <c:formatCode>0.00%</c:formatCode>
                <c:ptCount val="3"/>
                <c:pt idx="0">
                  <c:v>0.42968402962232088</c:v>
                </c:pt>
                <c:pt idx="1">
                  <c:v>0.36696004638765911</c:v>
                </c:pt>
                <c:pt idx="2">
                  <c:v>0.64614266913922291</c:v>
                </c:pt>
              </c:numCache>
            </c:numRef>
          </c:xVal>
          <c:yVal>
            <c:numRef>
              <c:f>'Benchmarking (STARBUCKS)'!$BF$261:$BF$263</c:f>
              <c:numCache>
                <c:formatCode>0.00%</c:formatCode>
                <c:ptCount val="3"/>
                <c:pt idx="0">
                  <c:v>4.6474215807637442E-2</c:v>
                </c:pt>
                <c:pt idx="1">
                  <c:v>4.8415584135591994E-2</c:v>
                </c:pt>
                <c:pt idx="2">
                  <c:v>3.9866950936842338E-2</c:v>
                </c:pt>
              </c:numCache>
            </c:numRef>
          </c:yVal>
          <c:smooth val="0"/>
          <c:extLst>
            <c:ext xmlns:c15="http://schemas.microsoft.com/office/drawing/2012/chart" uri="{02D57815-91ED-43cb-92C2-25804820EDAC}">
              <c15:datalabelsRange>
                <c15:f>'Benchmarking (STARBUCKS)'!$BD$261:$BD$263</c15:f>
                <c15:dlblRangeCache>
                  <c:ptCount val="3"/>
                  <c:pt idx="0">
                    <c:v>L Rev</c:v>
                  </c:pt>
                  <c:pt idx="1">
                    <c:v>L Owned</c:v>
                  </c:pt>
                  <c:pt idx="2">
                    <c:v>L Partner</c:v>
                  </c:pt>
                </c15:dlblRangeCache>
              </c15:datalabelsRange>
            </c:ext>
            <c:ext xmlns:c16="http://schemas.microsoft.com/office/drawing/2014/chart" uri="{C3380CC4-5D6E-409C-BE32-E72D297353CC}">
              <c16:uniqueId val="{00000020-51E1-4272-9B7B-CDDADD78C6F2}"/>
            </c:ext>
          </c:extLst>
        </c:ser>
        <c:ser>
          <c:idx val="4"/>
          <c:order val="4"/>
          <c:tx>
            <c:v>YUM BRANDS</c:v>
          </c:tx>
          <c:spPr>
            <a:ln w="25400" cap="rnd">
              <a:noFill/>
              <a:round/>
            </a:ln>
            <a:effectLst/>
          </c:spPr>
          <c:marker>
            <c:symbol val="circle"/>
            <c:size val="8"/>
            <c:spPr>
              <a:solidFill>
                <a:srgbClr val="A044EA"/>
              </a:solidFill>
              <a:ln w="9525">
                <a:solidFill>
                  <a:srgbClr val="7030A0"/>
                </a:solidFill>
              </a:ln>
              <a:effectLst/>
            </c:spPr>
          </c:marker>
          <c:dLbls>
            <c:dLbl>
              <c:idx val="0"/>
              <c:layout>
                <c:manualLayout>
                  <c:x val="-6.6529040094616049E-2"/>
                  <c:y val="-2.5955299206921412E-2"/>
                </c:manualLayout>
              </c:layout>
              <c:tx>
                <c:rich>
                  <a:bodyPr/>
                  <a:lstStyle/>
                  <a:p>
                    <a:fld id="{D68E7324-F4C4-704D-B2D9-286125AFCD73}"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51E1-4272-9B7B-CDDADD78C6F2}"/>
                </c:ext>
              </c:extLst>
            </c:dLbl>
            <c:dLbl>
              <c:idx val="1"/>
              <c:tx>
                <c:rich>
                  <a:bodyPr/>
                  <a:lstStyle/>
                  <a:p>
                    <a:fld id="{66E1346D-C0B9-44E7-9176-EC6FAAB2D4B1}"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1E1-4272-9B7B-CDDADD78C6F2}"/>
                </c:ext>
              </c:extLst>
            </c:dLbl>
            <c:dLbl>
              <c:idx val="2"/>
              <c:tx>
                <c:rich>
                  <a:bodyPr/>
                  <a:lstStyle/>
                  <a:p>
                    <a:fld id="{D0930982-1EEF-4845-943D-257E80D32FF7}"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1E1-4272-9B7B-CDDADD78C6F2}"/>
                </c:ext>
              </c:extLst>
            </c:dLbl>
            <c:dLbl>
              <c:idx val="3"/>
              <c:layout>
                <c:manualLayout>
                  <c:x val="3.6739369013244114E-3"/>
                  <c:y val="-8.651766402307191E-3"/>
                </c:manualLayout>
              </c:layout>
              <c:tx>
                <c:rich>
                  <a:bodyPr/>
                  <a:lstStyle/>
                  <a:p>
                    <a:fld id="{2440DB69-9377-A44C-B1CB-85EA9A45015C}"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51E1-4272-9B7B-CDDADD78C6F2}"/>
                </c:ext>
              </c:extLst>
            </c:dLbl>
            <c:dLbl>
              <c:idx val="4"/>
              <c:layout>
                <c:manualLayout>
                  <c:x val="-7.3646766752261492E-2"/>
                  <c:y val="-2.1629416005767843E-2"/>
                </c:manualLayout>
              </c:layout>
              <c:tx>
                <c:rich>
                  <a:bodyPr/>
                  <a:lstStyle/>
                  <a:p>
                    <a:fld id="{AF1A9621-B9F3-6A42-AFF7-EC4C78F1FE25}"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51E1-4272-9B7B-CDDADD78C6F2}"/>
                </c:ext>
              </c:extLst>
            </c:dLbl>
            <c:dLbl>
              <c:idx val="5"/>
              <c:tx>
                <c:rich>
                  <a:bodyPr/>
                  <a:lstStyle/>
                  <a:p>
                    <a:fld id="{2E7369EC-2840-4B09-A35C-6D47386AAAFC}"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1E1-4272-9B7B-CDDADD78C6F2}"/>
                </c:ext>
              </c:extLst>
            </c:dLbl>
            <c:dLbl>
              <c:idx val="6"/>
              <c:layout>
                <c:manualLayout>
                  <c:x val="1.9959937348833245E-3"/>
                  <c:y val="8.6517664023071372E-3"/>
                </c:manualLayout>
              </c:layout>
              <c:tx>
                <c:rich>
                  <a:bodyPr/>
                  <a:lstStyle/>
                  <a:p>
                    <a:fld id="{6BD78DCC-8650-AB44-B991-33BF249A20CF}"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51E1-4272-9B7B-CDDADD78C6F2}"/>
                </c:ext>
              </c:extLst>
            </c:dLbl>
            <c:dLbl>
              <c:idx val="7"/>
              <c:layout>
                <c:manualLayout>
                  <c:x val="-1.8497970230040545E-2"/>
                  <c:y val="-1.7303532804614274E-2"/>
                </c:manualLayout>
              </c:layout>
              <c:tx>
                <c:rich>
                  <a:bodyPr/>
                  <a:lstStyle/>
                  <a:p>
                    <a:fld id="{6FBE05C6-A88F-FF47-AAA7-65BE1B273073}"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51E1-4272-9B7B-CDDADD78C6F2}"/>
                </c:ext>
              </c:extLst>
            </c:dLbl>
            <c:dLbl>
              <c:idx val="8"/>
              <c:tx>
                <c:rich>
                  <a:bodyPr/>
                  <a:lstStyle/>
                  <a:p>
                    <a:fld id="{29329485-98D5-4EA9-B403-D696D6EB9F94}"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51E1-4272-9B7B-CDDADD78C6F2}"/>
                </c:ext>
              </c:extLst>
            </c:dLbl>
            <c:dLbl>
              <c:idx val="9"/>
              <c:tx>
                <c:rich>
                  <a:bodyPr/>
                  <a:lstStyle/>
                  <a:p>
                    <a:fld id="{2CE3D90F-9EA4-4833-A958-FE9034AF1158}"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51E1-4272-9B7B-CDDADD78C6F2}"/>
                </c:ext>
              </c:extLst>
            </c:dLbl>
            <c:dLbl>
              <c:idx val="10"/>
              <c:tx>
                <c:rich>
                  <a:bodyPr/>
                  <a:lstStyle/>
                  <a:p>
                    <a:fld id="{40C970CA-FA2A-4065-B866-DF864CF0AE6A}"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51E1-4272-9B7B-CDDADD78C6F2}"/>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(STARBUCKS)'!$BE$264:$BE$274</c:f>
              <c:numCache>
                <c:formatCode>0.00%</c:formatCode>
                <c:ptCount val="11"/>
                <c:pt idx="0">
                  <c:v>8.809113789905948E-2</c:v>
                </c:pt>
                <c:pt idx="1">
                  <c:v>0.14294933849628913</c:v>
                </c:pt>
                <c:pt idx="2">
                  <c:v>8.2167832167832161E-2</c:v>
                </c:pt>
                <c:pt idx="3">
                  <c:v>4.96031746031746E-3</c:v>
                </c:pt>
                <c:pt idx="4">
                  <c:v>-3.0927835051546393E-2</c:v>
                </c:pt>
                <c:pt idx="5">
                  <c:v>4.4311100853911836E-2</c:v>
                </c:pt>
                <c:pt idx="6">
                  <c:v>4.8929663608562692E-2</c:v>
                </c:pt>
                <c:pt idx="7">
                  <c:v>0.15818622360678436</c:v>
                </c:pt>
                <c:pt idx="8">
                  <c:v>0.15399686520376177</c:v>
                </c:pt>
                <c:pt idx="9">
                  <c:v>5.4021244309559936E-2</c:v>
                </c:pt>
                <c:pt idx="10">
                  <c:v>5.5229142185663924E-2</c:v>
                </c:pt>
              </c:numCache>
            </c:numRef>
          </c:xVal>
          <c:yVal>
            <c:numRef>
              <c:f>'Benchmarking (STARBUCKS)'!$BF$264:$BF$274</c:f>
              <c:numCache>
                <c:formatCode>0.00%</c:formatCode>
                <c:ptCount val="11"/>
                <c:pt idx="0">
                  <c:v>6.6123320447879719E-2</c:v>
                </c:pt>
                <c:pt idx="1">
                  <c:v>5.8074418877927414E-2</c:v>
                </c:pt>
                <c:pt idx="2">
                  <c:v>8.4037200121941602E-2</c:v>
                </c:pt>
                <c:pt idx="3">
                  <c:v>4.9477505351510187E-2</c:v>
                </c:pt>
                <c:pt idx="4">
                  <c:v>4.89764452454724E-2</c:v>
                </c:pt>
                <c:pt idx="5">
                  <c:v>7.6383281954417459E-2</c:v>
                </c:pt>
                <c:pt idx="6">
                  <c:v>-1.1767983488791933E-2</c:v>
                </c:pt>
                <c:pt idx="7">
                  <c:v>5.9866314534577691E-2</c:v>
                </c:pt>
                <c:pt idx="8">
                  <c:v>9.3742109514389105E-2</c:v>
                </c:pt>
                <c:pt idx="9">
                  <c:v>4.3697135881497928E-2</c:v>
                </c:pt>
                <c:pt idx="10">
                  <c:v>6.43382589006809E-2</c:v>
                </c:pt>
              </c:numCache>
            </c:numRef>
          </c:yVal>
          <c:smooth val="0"/>
          <c:extLst>
            <c:ext xmlns:c15="http://schemas.microsoft.com/office/drawing/2012/chart" uri="{02D57815-91ED-43cb-92C2-25804820EDAC}">
              <c15:datalabelsRange>
                <c15:f>'Benchmarking (STARBUCKS)'!$BD$264:$BD$274</c15:f>
                <c15:dlblRangeCache>
                  <c:ptCount val="11"/>
                  <c:pt idx="0">
                    <c:v>YUM Brands Rev</c:v>
                  </c:pt>
                  <c:pt idx="1">
                    <c:v>YUM KFC</c:v>
                  </c:pt>
                  <c:pt idx="2">
                    <c:v>YUM Taco Bell</c:v>
                  </c:pt>
                  <c:pt idx="3">
                    <c:v>YUM Pizza Hut</c:v>
                  </c:pt>
                  <c:pt idx="4">
                    <c:v>YUM Habit</c:v>
                  </c:pt>
                  <c:pt idx="5">
                    <c:v>YUM US</c:v>
                  </c:pt>
                  <c:pt idx="6">
                    <c:v>YUM China</c:v>
                  </c:pt>
                  <c:pt idx="7">
                    <c:v>YUM Others</c:v>
                  </c:pt>
                  <c:pt idx="8">
                    <c:v>YUM Sales</c:v>
                  </c:pt>
                  <c:pt idx="9">
                    <c:v>YUM Franchise</c:v>
                  </c:pt>
                  <c:pt idx="10">
                    <c:v>YUM Advertising</c:v>
                  </c:pt>
                </c15:dlblRangeCache>
              </c15:datalabelsRange>
            </c:ext>
            <c:ext xmlns:c16="http://schemas.microsoft.com/office/drawing/2014/chart" uri="{C3380CC4-5D6E-409C-BE32-E72D297353CC}">
              <c16:uniqueId val="{0000002C-51E1-4272-9B7B-CDDADD78C6F2}"/>
            </c:ext>
          </c:extLst>
        </c:ser>
        <c:ser>
          <c:idx val="5"/>
          <c:order val="5"/>
          <c:tx>
            <c:v>OTHERS</c:v>
          </c:tx>
          <c:spPr>
            <a:ln w="25400" cap="rnd">
              <a:noFill/>
              <a:round/>
            </a:ln>
            <a:effectLst/>
          </c:spPr>
          <c:marker>
            <c:symbol val="circle"/>
            <c:size val="8"/>
            <c:spPr>
              <a:solidFill>
                <a:srgbClr val="FFFF00"/>
              </a:solidFill>
              <a:ln w="9525">
                <a:solidFill>
                  <a:schemeClr val="accent4">
                    <a:lumMod val="60000"/>
                    <a:lumOff val="40000"/>
                  </a:schemeClr>
                </a:solidFill>
              </a:ln>
              <a:effectLst/>
            </c:spPr>
          </c:marker>
          <c:dLbls>
            <c:dLbl>
              <c:idx val="0"/>
              <c:tx>
                <c:rich>
                  <a:bodyPr/>
                  <a:lstStyle/>
                  <a:p>
                    <a:fld id="{9F93EA3F-CF5C-A146-945A-02991C8D4FEB}"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51E1-4272-9B7B-CDDADD78C6F2}"/>
                </c:ext>
              </c:extLst>
            </c:dLbl>
            <c:dLbl>
              <c:idx val="1"/>
              <c:tx>
                <c:rich>
                  <a:bodyPr/>
                  <a:lstStyle/>
                  <a:p>
                    <a:fld id="{66324C23-93B9-484F-8F46-88896BB0436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51E1-4272-9B7B-CDDADD78C6F2}"/>
                </c:ext>
              </c:extLst>
            </c:dLbl>
            <c:dLbl>
              <c:idx val="2"/>
              <c:tx>
                <c:rich>
                  <a:bodyPr/>
                  <a:lstStyle/>
                  <a:p>
                    <a:fld id="{AE7CCD0F-84A6-4F07-BECD-4EBF4D5A300B}"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51E1-4272-9B7B-CDDADD78C6F2}"/>
                </c:ext>
              </c:extLst>
            </c:dLbl>
            <c:dLbl>
              <c:idx val="3"/>
              <c:tx>
                <c:rich>
                  <a:bodyPr/>
                  <a:lstStyle/>
                  <a:p>
                    <a:fld id="{FCCF8964-E2C2-4994-BC81-E6E6495517FD}"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51E1-4272-9B7B-CDDADD78C6F2}"/>
                </c:ext>
              </c:extLst>
            </c:dLbl>
            <c:dLbl>
              <c:idx val="4"/>
              <c:tx>
                <c:rich>
                  <a:bodyPr/>
                  <a:lstStyle/>
                  <a:p>
                    <a:fld id="{09CB87A4-75C6-4B7D-9149-B03F668C5381}"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51E1-4272-9B7B-CDDADD78C6F2}"/>
                </c:ext>
              </c:extLst>
            </c:dLbl>
            <c:dLbl>
              <c:idx val="5"/>
              <c:tx>
                <c:rich>
                  <a:bodyPr/>
                  <a:lstStyle/>
                  <a:p>
                    <a:fld id="{8204B2D5-CAEF-4D59-84BA-FE88CC45354B}"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51E1-4272-9B7B-CDDADD78C6F2}"/>
                </c:ext>
              </c:extLst>
            </c:dLbl>
            <c:dLbl>
              <c:idx val="6"/>
              <c:tx>
                <c:rich>
                  <a:bodyPr/>
                  <a:lstStyle/>
                  <a:p>
                    <a:fld id="{1033D1AA-2992-4383-B2B3-DF7A2F250B25}"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51E1-4272-9B7B-CDDADD78C6F2}"/>
                </c:ext>
              </c:extLst>
            </c:dLbl>
            <c:dLbl>
              <c:idx val="7"/>
              <c:tx>
                <c:rich>
                  <a:bodyPr/>
                  <a:lstStyle/>
                  <a:p>
                    <a:fld id="{53570168-F2EC-495D-B0D1-79DD8AB74B6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51E1-4272-9B7B-CDDADD78C6F2}"/>
                </c:ext>
              </c:extLst>
            </c:dLbl>
            <c:dLbl>
              <c:idx val="8"/>
              <c:tx>
                <c:rich>
                  <a:bodyPr/>
                  <a:lstStyle/>
                  <a:p>
                    <a:fld id="{8E3FD71B-2F3A-4CCE-9F6C-8FBB8A39A811}"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51E1-4272-9B7B-CDDADD78C6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(STARBUCKS)'!$BE$275:$BE$283</c:f>
              <c:numCache>
                <c:formatCode>0.00%</c:formatCode>
                <c:ptCount val="9"/>
                <c:pt idx="0">
                  <c:v>4.7499045842287417E-2</c:v>
                </c:pt>
                <c:pt idx="1">
                  <c:v>8.6137955454223522E-2</c:v>
                </c:pt>
                <c:pt idx="2">
                  <c:v>3.5520149621791397E-2</c:v>
                </c:pt>
                <c:pt idx="3">
                  <c:v>6.3382871776709218E-2</c:v>
                </c:pt>
                <c:pt idx="4">
                  <c:v>1.8699135164998618E-2</c:v>
                </c:pt>
                <c:pt idx="5">
                  <c:v>2.2546650118666578E-2</c:v>
                </c:pt>
                <c:pt idx="6">
                  <c:v>7.621019705636671E-2</c:v>
                </c:pt>
                <c:pt idx="7">
                  <c:v>0.18704887396477882</c:v>
                </c:pt>
                <c:pt idx="8">
                  <c:v>0.12266606314360078</c:v>
                </c:pt>
              </c:numCache>
            </c:numRef>
          </c:xVal>
          <c:yVal>
            <c:numRef>
              <c:f>'Benchmarking (STARBUCKS)'!$BF$275:$BF$283</c:f>
              <c:numCache>
                <c:formatCode>0.00%</c:formatCode>
                <c:ptCount val="9"/>
                <c:pt idx="0">
                  <c:v>2.1280110498308247E-2</c:v>
                </c:pt>
                <c:pt idx="1">
                  <c:v>2.3867612807679794E-2</c:v>
                </c:pt>
                <c:pt idx="2">
                  <c:v>1.3242218207991874E-2</c:v>
                </c:pt>
                <c:pt idx="3">
                  <c:v>8.4035953484242754E-3</c:v>
                </c:pt>
                <c:pt idx="4">
                  <c:v>-5.4048607744261457E-4</c:v>
                </c:pt>
                <c:pt idx="5">
                  <c:v>4.7029500398262147E-2</c:v>
                </c:pt>
                <c:pt idx="6">
                  <c:v>2.9421895087762939E-2</c:v>
                </c:pt>
                <c:pt idx="7">
                  <c:v>5.5754586095857261E-2</c:v>
                </c:pt>
                <c:pt idx="8">
                  <c:v>1.0538442654527636E-2</c:v>
                </c:pt>
              </c:numCache>
            </c:numRef>
          </c:yVal>
          <c:smooth val="0"/>
          <c:extLst>
            <c:ext xmlns:c15="http://schemas.microsoft.com/office/drawing/2012/chart" uri="{02D57815-91ED-43cb-92C2-25804820EDAC}">
              <c15:datalabelsRange>
                <c15:f>'Benchmarking (STARBUCKS)'!$BD$275:$BD$283</c15:f>
                <c15:dlblRangeCache>
                  <c:ptCount val="9"/>
                  <c:pt idx="0">
                    <c:v>CHEESECAKE Rev</c:v>
                  </c:pt>
                  <c:pt idx="1">
                    <c:v>DARDEN Rev</c:v>
                  </c:pt>
                  <c:pt idx="2">
                    <c:v>CHIPOTLE Rev</c:v>
                  </c:pt>
                  <c:pt idx="3">
                    <c:v>DOUTOR NICHIRES Rev</c:v>
                  </c:pt>
                  <c:pt idx="4">
                    <c:v>COCA COLA Rev</c:v>
                  </c:pt>
                  <c:pt idx="5">
                    <c:v>PEPSI Rev</c:v>
                  </c:pt>
                  <c:pt idx="6">
                    <c:v>MONSTER Rev</c:v>
                  </c:pt>
                  <c:pt idx="7">
                    <c:v>DUTCH BROS Rev</c:v>
                  </c:pt>
                  <c:pt idx="8">
                    <c:v>JDE PEETS Rev</c:v>
                  </c:pt>
                </c15:dlblRangeCache>
              </c15:datalabelsRange>
            </c:ext>
            <c:ext xmlns:c16="http://schemas.microsoft.com/office/drawing/2014/chart" uri="{C3380CC4-5D6E-409C-BE32-E72D297353CC}">
              <c16:uniqueId val="{00000036-51E1-4272-9B7B-CDDADD78C6F2}"/>
            </c:ext>
          </c:extLst>
        </c:ser>
        <c:ser>
          <c:idx val="6"/>
          <c:order val="6"/>
          <c:tx>
            <c:v>CAGR Line</c:v>
          </c:tx>
          <c:spPr>
            <a:ln w="25400" cap="rnd">
              <a:solidFill>
                <a:srgbClr val="A044EA"/>
              </a:solidFill>
              <a:round/>
            </a:ln>
            <a:effectLst/>
          </c:spPr>
          <c:marker>
            <c:symbol val="circle"/>
            <c:size val="5"/>
            <c:spPr>
              <a:solidFill>
                <a:schemeClr val="accent1">
                  <a:lumMod val="60000"/>
                </a:schemeClr>
              </a:solidFill>
              <a:ln w="9525">
                <a:solidFill>
                  <a:schemeClr val="accent1">
                    <a:lumMod val="60000"/>
                  </a:schemeClr>
                </a:solidFill>
              </a:ln>
              <a:effectLst/>
            </c:spPr>
          </c:marker>
          <c:dLbls>
            <c:dLbl>
              <c:idx val="0"/>
              <c:layout>
                <c:manualLayout>
                  <c:x val="-7.0178540838937487E-2"/>
                  <c:y val="2.8868563702577417E-3"/>
                </c:manualLayout>
              </c:layout>
              <c:tx>
                <c:rich>
                  <a:bodyPr/>
                  <a:lstStyle/>
                  <a:p>
                    <a:fld id="{805FD829-BB1C-C047-A219-B59068EE979E}"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51E1-4272-9B7B-CDDADD78C6F2}"/>
                </c:ext>
              </c:extLst>
            </c:dLbl>
            <c:dLbl>
              <c:idx val="1"/>
              <c:tx>
                <c:rich>
                  <a:bodyPr/>
                  <a:lstStyle/>
                  <a:p>
                    <a:fld id="{D7333FE2-D282-4D36-85A0-AB8FE5CC7559}"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51E1-4272-9B7B-CDDADD78C6F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(STARBUCKS)'!$BE$292:$BE$293</c:f>
              <c:numCache>
                <c:formatCode>0.00%</c:formatCode>
                <c:ptCount val="2"/>
                <c:pt idx="0">
                  <c:v>-9.0170376675160438E-2</c:v>
                </c:pt>
                <c:pt idx="1">
                  <c:v>0.64614266913922291</c:v>
                </c:pt>
              </c:numCache>
            </c:numRef>
          </c:xVal>
          <c:yVal>
            <c:numRef>
              <c:f>'Benchmarking (STARBUCKS)'!$BF$292:$BF$293</c:f>
              <c:numCache>
                <c:formatCode>0.00%</c:formatCode>
                <c:ptCount val="2"/>
                <c:pt idx="0">
                  <c:v>1.9734843618119613E-2</c:v>
                </c:pt>
                <c:pt idx="1">
                  <c:v>1.9734843618119613E-2</c:v>
                </c:pt>
              </c:numCache>
            </c:numRef>
          </c:yVal>
          <c:smooth val="0"/>
          <c:extLst>
            <c:ext xmlns:c15="http://schemas.microsoft.com/office/drawing/2012/chart" uri="{02D57815-91ED-43cb-92C2-25804820EDAC}">
              <c15:datalabelsRange>
                <c15:f>'Benchmarking (STARBUCKS)'!$BD$292:$BD$293</c15:f>
                <c15:dlblRangeCache>
                  <c:ptCount val="2"/>
                  <c:pt idx="0">
                    <c:v>50%</c:v>
                  </c:pt>
                  <c:pt idx="1">
                    <c:v>50%</c:v>
                  </c:pt>
                </c15:dlblRangeCache>
              </c15:datalabelsRange>
            </c:ext>
            <c:ext xmlns:c16="http://schemas.microsoft.com/office/drawing/2014/chart" uri="{C3380CC4-5D6E-409C-BE32-E72D297353CC}">
              <c16:uniqueId val="{00000039-51E1-4272-9B7B-CDDADD78C6F2}"/>
            </c:ext>
          </c:extLst>
        </c:ser>
        <c:ser>
          <c:idx val="7"/>
          <c:order val="7"/>
          <c:tx>
            <c:v>YOY Line</c:v>
          </c:tx>
          <c:spPr>
            <a:ln w="25400" cap="rnd">
              <a:solidFill>
                <a:srgbClr val="A044EA"/>
              </a:solidFill>
              <a:round/>
            </a:ln>
            <a:effectLst/>
          </c:spPr>
          <c:marker>
            <c:symbol val="circle"/>
            <c:size val="5"/>
            <c:spPr>
              <a:solidFill>
                <a:schemeClr val="accent2">
                  <a:lumMod val="60000"/>
                </a:schemeClr>
              </a:solidFill>
              <a:ln w="9525">
                <a:solidFill>
                  <a:schemeClr val="accent2">
                    <a:lumMod val="60000"/>
                  </a:schemeClr>
                </a:solidFill>
              </a:ln>
              <a:effectLst/>
            </c:spPr>
          </c:marker>
          <c:dLbls>
            <c:dLbl>
              <c:idx val="0"/>
              <c:layout>
                <c:manualLayout>
                  <c:x val="4.0595399188092509E-3"/>
                  <c:y val="1.1535688536409516E-2"/>
                </c:manualLayout>
              </c:layout>
              <c:tx>
                <c:rich>
                  <a:bodyPr/>
                  <a:lstStyle/>
                  <a:p>
                    <a:fld id="{48E17704-D8A3-F746-BBFA-3B4458C355A6}"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51E1-4272-9B7B-CDDADD78C6F2}"/>
                </c:ext>
              </c:extLst>
            </c:dLbl>
            <c:dLbl>
              <c:idx val="1"/>
              <c:layout>
                <c:manualLayout>
                  <c:x val="-3.5182679296346414E-2"/>
                  <c:y val="-2.4513338139870222E-2"/>
                </c:manualLayout>
              </c:layout>
              <c:tx>
                <c:rich>
                  <a:bodyPr/>
                  <a:lstStyle/>
                  <a:p>
                    <a:fld id="{D693627E-70BF-424E-A357-A3666C3B5A5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51E1-4272-9B7B-CDDADD78C6F2}"/>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(STARBUCKS)'!$BE$295:$BE$296</c:f>
              <c:numCache>
                <c:formatCode>0.00%</c:formatCode>
                <c:ptCount val="2"/>
                <c:pt idx="0">
                  <c:v>5.3534065620645679E-2</c:v>
                </c:pt>
                <c:pt idx="1">
                  <c:v>5.3534065620645679E-2</c:v>
                </c:pt>
              </c:numCache>
            </c:numRef>
          </c:xVal>
          <c:yVal>
            <c:numRef>
              <c:f>'Benchmarking (STARBUCKS)'!$BF$295:$BF$296</c:f>
              <c:numCache>
                <c:formatCode>0.00%</c:formatCode>
                <c:ptCount val="2"/>
                <c:pt idx="0">
                  <c:v>-2.7199039030397776E-2</c:v>
                </c:pt>
                <c:pt idx="1">
                  <c:v>9.6640366105877895E-2</c:v>
                </c:pt>
              </c:numCache>
            </c:numRef>
          </c:yVal>
          <c:smooth val="0"/>
          <c:extLst>
            <c:ext xmlns:c15="http://schemas.microsoft.com/office/drawing/2012/chart" uri="{02D57815-91ED-43cb-92C2-25804820EDAC}">
              <c15:datalabelsRange>
                <c15:f>'Benchmarking (STARBUCKS)'!$BD$295:$BD$296</c15:f>
                <c15:dlblRangeCache>
                  <c:ptCount val="2"/>
                  <c:pt idx="0">
                    <c:v>50%</c:v>
                  </c:pt>
                  <c:pt idx="1">
                    <c:v>50%</c:v>
                  </c:pt>
                </c15:dlblRangeCache>
              </c15:datalabelsRange>
            </c:ext>
            <c:ext xmlns:c16="http://schemas.microsoft.com/office/drawing/2014/chart" uri="{C3380CC4-5D6E-409C-BE32-E72D297353CC}">
              <c16:uniqueId val="{0000003C-51E1-4272-9B7B-CDDADD78C6F2}"/>
            </c:ext>
          </c:extLst>
        </c:ser>
        <c:dLbls>
          <c:showLegendKey val="0"/>
          <c:showVal val="0"/>
          <c:showCatName val="0"/>
          <c:showSerName val="0"/>
          <c:showPercent val="0"/>
          <c:showBubbleSize val="0"/>
        </c:dLbls>
        <c:axId val="1428992255"/>
        <c:axId val="1428980159"/>
      </c:scatterChart>
      <c:valAx>
        <c:axId val="14289922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YOY</a:t>
                </a:r>
                <a:r>
                  <a:rPr lang="en-GB" sz="1200" b="1" baseline="0"/>
                  <a:t> TTM</a:t>
                </a:r>
                <a:endParaRPr lang="en-GB"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8980159"/>
        <c:crosses val="autoZero"/>
        <c:crossBetween val="midCat"/>
      </c:valAx>
      <c:valAx>
        <c:axId val="142898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1"/>
                  <a:t>CAGR</a:t>
                </a:r>
                <a:r>
                  <a:rPr lang="en-GB" sz="1200" b="1" baseline="0"/>
                  <a:t> 5Q</a:t>
                </a:r>
                <a:endParaRPr lang="en-GB" sz="1200" b="1"/>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89922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r>
              <a:rPr lang="en-GB" b="1">
                <a:solidFill>
                  <a:schemeClr val="accent6">
                    <a:lumMod val="75000"/>
                  </a:schemeClr>
                </a:solidFill>
              </a:rPr>
              <a:t>F&amp;B Benchmark</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75000"/>
                </a:schemeClr>
              </a:solidFill>
              <a:latin typeface="+mn-lt"/>
              <a:ea typeface="+mn-ea"/>
              <a:cs typeface="+mn-cs"/>
            </a:defRPr>
          </a:pPr>
          <a:endParaRPr lang="en-US"/>
        </a:p>
      </c:txPr>
    </c:title>
    <c:autoTitleDeleted val="0"/>
    <c:plotArea>
      <c:layout/>
      <c:scatterChart>
        <c:scatterStyle val="lineMarker"/>
        <c:varyColors val="0"/>
        <c:ser>
          <c:idx val="0"/>
          <c:order val="0"/>
          <c:tx>
            <c:v>STARBUCKS</c:v>
          </c:tx>
          <c:spPr>
            <a:ln w="19050" cap="rnd">
              <a:noFill/>
              <a:round/>
            </a:ln>
            <a:effectLst/>
          </c:spPr>
          <c:marker>
            <c:symbol val="circle"/>
            <c:size val="8"/>
            <c:spPr>
              <a:solidFill>
                <a:schemeClr val="accent6"/>
              </a:solidFill>
              <a:ln w="9525">
                <a:solidFill>
                  <a:schemeClr val="accent6"/>
                </a:solidFill>
              </a:ln>
              <a:effectLst/>
            </c:spPr>
          </c:marker>
          <c:dLbls>
            <c:dLbl>
              <c:idx val="0"/>
              <c:layout>
                <c:manualLayout>
                  <c:x val="-0.13125845737483086"/>
                  <c:y val="-4.6142754145638065E-2"/>
                </c:manualLayout>
              </c:layout>
              <c:tx>
                <c:rich>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fld id="{9AC17AE6-28A1-0E48-AA88-F731693803D1}" type="CELLRANGE">
                      <a:rPr lang="en-US"/>
                      <a:pPr>
                        <a:defRPr sz="1200" b="1">
                          <a:solidFill>
                            <a:schemeClr val="bg1"/>
                          </a:solidFill>
                        </a:defRPr>
                      </a:pPr>
                      <a:t>[CELLRANGE]</a:t>
                    </a:fld>
                    <a:endParaRPr lang="en-SG"/>
                  </a:p>
                </c:rich>
              </c:tx>
              <c:spPr>
                <a:solidFill>
                  <a:schemeClr val="accent6">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SG"/>
                </a:p>
              </c:txP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711-4144-9DDD-9EB909B8DA44}"/>
                </c:ext>
              </c:extLst>
            </c:dLbl>
            <c:dLbl>
              <c:idx val="1"/>
              <c:layout>
                <c:manualLayout>
                  <c:x val="2.0297699594046009E-2"/>
                  <c:y val="-2.1629416005767843E-2"/>
                </c:manualLayout>
              </c:layout>
              <c:tx>
                <c:rich>
                  <a:bodyPr/>
                  <a:lstStyle/>
                  <a:p>
                    <a:fld id="{96D86C1E-F494-5A4F-AE49-978D98684C48}"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711-4144-9DDD-9EB909B8DA44}"/>
                </c:ext>
              </c:extLst>
            </c:dLbl>
            <c:dLbl>
              <c:idx val="2"/>
              <c:layout>
                <c:manualLayout>
                  <c:x val="-9.4722598105548041E-3"/>
                  <c:y val="-2.4513338139870118E-2"/>
                </c:manualLayout>
              </c:layout>
              <c:tx>
                <c:rich>
                  <a:bodyPr/>
                  <a:lstStyle/>
                  <a:p>
                    <a:fld id="{B18AF278-2695-CD47-8523-FAF19FE9F67C}"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711-4144-9DDD-9EB909B8DA44}"/>
                </c:ext>
              </c:extLst>
            </c:dLbl>
            <c:dLbl>
              <c:idx val="3"/>
              <c:tx>
                <c:rich>
                  <a:bodyPr/>
                  <a:lstStyle/>
                  <a:p>
                    <a:fld id="{D2026A15-8475-49D6-9421-FD7FE62F28F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711-4144-9DDD-9EB909B8DA44}"/>
                </c:ext>
              </c:extLst>
            </c:dLbl>
            <c:dLbl>
              <c:idx val="4"/>
              <c:layout>
                <c:manualLayout>
                  <c:x val="-0.13937753721244925"/>
                  <c:y val="7.2098053352559477E-3"/>
                </c:manualLayout>
              </c:layout>
              <c:tx>
                <c:rich>
                  <a:bodyPr/>
                  <a:lstStyle/>
                  <a:p>
                    <a:fld id="{6ACDF617-5C21-A54D-9DBB-C7F6BD9931C2}"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711-4144-9DDD-9EB909B8DA44}"/>
                </c:ext>
              </c:extLst>
            </c:dLbl>
            <c:dLbl>
              <c:idx val="5"/>
              <c:layout>
                <c:manualLayout>
                  <c:x val="-2.0297699594046106E-2"/>
                  <c:y val="-2.5955299206921412E-2"/>
                </c:manualLayout>
              </c:layout>
              <c:tx>
                <c:rich>
                  <a:bodyPr/>
                  <a:lstStyle/>
                  <a:p>
                    <a:fld id="{02DE2023-C68C-B649-8357-8F2126EE10D2}"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711-4144-9DDD-9EB909B8DA44}"/>
                </c:ext>
              </c:extLst>
            </c:dLbl>
            <c:dLbl>
              <c:idx val="6"/>
              <c:tx>
                <c:rich>
                  <a:bodyPr/>
                  <a:lstStyle/>
                  <a:p>
                    <a:fld id="{871F3C63-55B7-4218-A185-3394567AA3A8}"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711-4144-9DDD-9EB909B8DA44}"/>
                </c:ext>
              </c:extLst>
            </c:dLbl>
            <c:dLbl>
              <c:idx val="7"/>
              <c:layout>
                <c:manualLayout>
                  <c:x val="-5.9539918809201724E-2"/>
                  <c:y val="2.3071377072819033E-2"/>
                </c:manualLayout>
              </c:layout>
              <c:tx>
                <c:rich>
                  <a:bodyPr/>
                  <a:lstStyle/>
                  <a:p>
                    <a:fld id="{CE0C45AE-E87C-EA43-8662-F4903D38532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711-4144-9DDD-9EB909B8DA44}"/>
                </c:ext>
              </c:extLst>
            </c:dLbl>
            <c:dLbl>
              <c:idx val="8"/>
              <c:tx>
                <c:rich>
                  <a:bodyPr/>
                  <a:lstStyle/>
                  <a:p>
                    <a:fld id="{B7A1E5E6-4113-40B5-A4B5-BB688345164E}"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711-4144-9DDD-9EB909B8DA44}"/>
                </c:ext>
              </c:extLst>
            </c:dLbl>
            <c:dLbl>
              <c:idx val="9"/>
              <c:layout>
                <c:manualLayout>
                  <c:x val="-0.15020297699594051"/>
                  <c:y val="-2.883922134102432E-3"/>
                </c:manualLayout>
              </c:layout>
              <c:tx>
                <c:rich>
                  <a:bodyPr/>
                  <a:lstStyle/>
                  <a:p>
                    <a:fld id="{C6413210-D9E1-3344-AE73-75B9AF85D952}"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711-4144-9DDD-9EB909B8DA4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(STARBUCKS)'!$BE$234:$BE$243</c:f>
              <c:numCache>
                <c:formatCode>0.00%</c:formatCode>
                <c:ptCount val="10"/>
                <c:pt idx="0">
                  <c:v>4.2961434297775582E-2</c:v>
                </c:pt>
                <c:pt idx="1">
                  <c:v>4.5361945771062541E-2</c:v>
                </c:pt>
                <c:pt idx="2">
                  <c:v>-2.3310180502169132E-2</c:v>
                </c:pt>
                <c:pt idx="3">
                  <c:v>0.16029411764705886</c:v>
                </c:pt>
                <c:pt idx="4">
                  <c:v>2.3041115706311111E-2</c:v>
                </c:pt>
                <c:pt idx="5">
                  <c:v>8.8227705427830469E-2</c:v>
                </c:pt>
                <c:pt idx="6">
                  <c:v>0.15460075628870507</c:v>
                </c:pt>
                <c:pt idx="7">
                  <c:v>4.2993688831976684E-2</c:v>
                </c:pt>
                <c:pt idx="8">
                  <c:v>5.2812384813859171E-2</c:v>
                </c:pt>
                <c:pt idx="9">
                  <c:v>3.3809726962457265E-2</c:v>
                </c:pt>
              </c:numCache>
            </c:numRef>
          </c:xVal>
          <c:yVal>
            <c:numRef>
              <c:f>'Benchmarking (STARBUCKS)'!$BF$234:$BF$243</c:f>
              <c:numCache>
                <c:formatCode>0.00%</c:formatCode>
                <c:ptCount val="10"/>
                <c:pt idx="0">
                  <c:v>1.7887227272861184E-2</c:v>
                </c:pt>
                <c:pt idx="1">
                  <c:v>1.9289695319166578E-2</c:v>
                </c:pt>
                <c:pt idx="2">
                  <c:v>1.5931178122619016E-4</c:v>
                </c:pt>
                <c:pt idx="3">
                  <c:v>3.5002220240370141E-2</c:v>
                </c:pt>
                <c:pt idx="4">
                  <c:v>1.7003278007729605E-2</c:v>
                </c:pt>
                <c:pt idx="5">
                  <c:v>1.7514263082706982E-2</c:v>
                </c:pt>
                <c:pt idx="6">
                  <c:v>3.1129470010790472E-2</c:v>
                </c:pt>
                <c:pt idx="7">
                  <c:v>1.5677006646583003E-2</c:v>
                </c:pt>
                <c:pt idx="8">
                  <c:v>2.4766727078986417E-2</c:v>
                </c:pt>
                <c:pt idx="9">
                  <c:v>1.8146130604321797E-2</c:v>
                </c:pt>
              </c:numCache>
            </c:numRef>
          </c:yVal>
          <c:smooth val="0"/>
          <c:extLst>
            <c:ext xmlns:c15="http://schemas.microsoft.com/office/drawing/2012/chart" uri="{02D57815-91ED-43cb-92C2-25804820EDAC}">
              <c15:datalabelsRange>
                <c15:f>'Benchmarking (STARBUCKS)'!$BD$234:$BD$243</c15:f>
                <c15:dlblRangeCache>
                  <c:ptCount val="10"/>
                  <c:pt idx="0">
                    <c:v>Starbucks Rev</c:v>
                  </c:pt>
                  <c:pt idx="1">
                    <c:v>SB Company-Op</c:v>
                  </c:pt>
                  <c:pt idx="2">
                    <c:v>SB Licensed</c:v>
                  </c:pt>
                  <c:pt idx="3">
                    <c:v>SB Royalty</c:v>
                  </c:pt>
                  <c:pt idx="4">
                    <c:v>SB North America</c:v>
                  </c:pt>
                  <c:pt idx="5">
                    <c:v>SB International</c:v>
                  </c:pt>
                  <c:pt idx="6">
                    <c:v>SB Channel Devt</c:v>
                  </c:pt>
                  <c:pt idx="7">
                    <c:v>SB Beverage</c:v>
                  </c:pt>
                  <c:pt idx="8">
                    <c:v>SB Food</c:v>
                  </c:pt>
                  <c:pt idx="9">
                    <c:v>SB Packaged Drinks</c:v>
                  </c:pt>
                </c15:dlblRangeCache>
              </c15:datalabelsRange>
            </c:ext>
            <c:ext xmlns:c16="http://schemas.microsoft.com/office/drawing/2014/chart" uri="{C3380CC4-5D6E-409C-BE32-E72D297353CC}">
              <c16:uniqueId val="{0000000A-F711-4144-9DDD-9EB909B8DA44}"/>
            </c:ext>
          </c:extLst>
        </c:ser>
        <c:ser>
          <c:idx val="1"/>
          <c:order val="1"/>
          <c:tx>
            <c:v>McDONALD's</c:v>
          </c:tx>
          <c:spPr>
            <a:ln w="25400" cap="rnd">
              <a:noFill/>
              <a:round/>
            </a:ln>
            <a:effectLst/>
          </c:spPr>
          <c:marker>
            <c:symbol val="circle"/>
            <c:size val="8"/>
            <c:spPr>
              <a:solidFill>
                <a:schemeClr val="accent4"/>
              </a:solidFill>
              <a:ln w="9525">
                <a:solidFill>
                  <a:schemeClr val="accent4"/>
                </a:solidFill>
              </a:ln>
              <a:effectLst/>
            </c:spPr>
          </c:marker>
          <c:dLbls>
            <c:dLbl>
              <c:idx val="0"/>
              <c:tx>
                <c:rich>
                  <a:bodyPr/>
                  <a:lstStyle/>
                  <a:p>
                    <a:fld id="{F09869C8-3371-A34E-8DA9-B85428246735}" type="CELLRANGE">
                      <a:rPr lang="en-US"/>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711-4144-9DDD-9EB909B8DA44}"/>
                </c:ext>
              </c:extLst>
            </c:dLbl>
            <c:dLbl>
              <c:idx val="1"/>
              <c:tx>
                <c:rich>
                  <a:bodyPr/>
                  <a:lstStyle/>
                  <a:p>
                    <a:fld id="{4237F9B2-B944-4E6A-B269-493391E7EB57}"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711-4144-9DDD-9EB909B8DA44}"/>
                </c:ext>
              </c:extLst>
            </c:dLbl>
            <c:dLbl>
              <c:idx val="2"/>
              <c:tx>
                <c:rich>
                  <a:bodyPr/>
                  <a:lstStyle/>
                  <a:p>
                    <a:fld id="{28729F4C-5F79-4795-B236-7489A4EE814B}"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711-4144-9DDD-9EB909B8DA44}"/>
                </c:ext>
              </c:extLst>
            </c:dLbl>
            <c:dLbl>
              <c:idx val="3"/>
              <c:tx>
                <c:rich>
                  <a:bodyPr/>
                  <a:lstStyle/>
                  <a:p>
                    <a:fld id="{D5F036CF-E9C5-4EFC-9807-E62B71279628}"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711-4144-9DDD-9EB909B8DA44}"/>
                </c:ext>
              </c:extLst>
            </c:dLbl>
            <c:dLbl>
              <c:idx val="4"/>
              <c:layout>
                <c:manualLayout>
                  <c:x val="1.0338294993234002E-2"/>
                  <c:y val="8.9618448018438934E-3"/>
                </c:manualLayout>
              </c:layout>
              <c:tx>
                <c:rich>
                  <a:bodyPr/>
                  <a:lstStyle/>
                  <a:p>
                    <a:fld id="{A5A8779F-6C93-6945-893D-F2EF37F4E1FD}"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F711-4144-9DDD-9EB909B8DA44}"/>
                </c:ext>
              </c:extLst>
            </c:dLbl>
            <c:dLbl>
              <c:idx val="5"/>
              <c:tx>
                <c:rich>
                  <a:bodyPr/>
                  <a:lstStyle/>
                  <a:p>
                    <a:fld id="{6E7EBB38-9881-47E0-90E6-4DC5F89D98D8}"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711-4144-9DDD-9EB909B8DA4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(STARBUCKS)'!$BE$244:$BE$249</c:f>
              <c:numCache>
                <c:formatCode>0.00%</c:formatCode>
                <c:ptCount val="6"/>
                <c:pt idx="0">
                  <c:v>3.7228501986806065E-2</c:v>
                </c:pt>
                <c:pt idx="1">
                  <c:v>-9.4050296462891026E-3</c:v>
                </c:pt>
                <c:pt idx="2">
                  <c:v>5.304688693173143E-2</c:v>
                </c:pt>
                <c:pt idx="3">
                  <c:v>2.0813664185938243E-2</c:v>
                </c:pt>
                <c:pt idx="4">
                  <c:v>9.994575595768046E-2</c:v>
                </c:pt>
                <c:pt idx="5">
                  <c:v>-9.0170376675160438E-2</c:v>
                </c:pt>
              </c:numCache>
            </c:numRef>
          </c:xVal>
          <c:yVal>
            <c:numRef>
              <c:f>'Benchmarking (STARBUCKS)'!$BF$244:$BF$249</c:f>
              <c:numCache>
                <c:formatCode>0.00%</c:formatCode>
                <c:ptCount val="6"/>
                <c:pt idx="0">
                  <c:v>3.8973467989722455E-3</c:v>
                </c:pt>
                <c:pt idx="1">
                  <c:v>-9.1258941400198523E-3</c:v>
                </c:pt>
                <c:pt idx="2">
                  <c:v>1.0412633096245072E-2</c:v>
                </c:pt>
                <c:pt idx="3">
                  <c:v>-4.472833507324192E-3</c:v>
                </c:pt>
                <c:pt idx="4">
                  <c:v>1.7556261412216445E-2</c:v>
                </c:pt>
                <c:pt idx="5">
                  <c:v>-2.1362990053975572E-2</c:v>
                </c:pt>
              </c:numCache>
            </c:numRef>
          </c:yVal>
          <c:smooth val="0"/>
          <c:extLst>
            <c:ext xmlns:c15="http://schemas.microsoft.com/office/drawing/2012/chart" uri="{02D57815-91ED-43cb-92C2-25804820EDAC}">
              <c15:datalabelsRange>
                <c15:f>'Benchmarking (STARBUCKS)'!$BD$244:$BD$249</c15:f>
                <c15:dlblRangeCache>
                  <c:ptCount val="6"/>
                  <c:pt idx="0">
                    <c:v>McDonalds Rev</c:v>
                  </c:pt>
                  <c:pt idx="1">
                    <c:v>McD Company Op</c:v>
                  </c:pt>
                  <c:pt idx="2">
                    <c:v>McD Franchised</c:v>
                  </c:pt>
                  <c:pt idx="3">
                    <c:v>McD US</c:v>
                  </c:pt>
                  <c:pt idx="4">
                    <c:v>McD Int'l (Op)</c:v>
                  </c:pt>
                  <c:pt idx="5">
                    <c:v>McD Int'l (Licensed)</c:v>
                  </c:pt>
                </c15:dlblRangeCache>
              </c15:datalabelsRange>
            </c:ext>
            <c:ext xmlns:c16="http://schemas.microsoft.com/office/drawing/2014/chart" uri="{C3380CC4-5D6E-409C-BE32-E72D297353CC}">
              <c16:uniqueId val="{00000011-F711-4144-9DDD-9EB909B8DA44}"/>
            </c:ext>
          </c:extLst>
        </c:ser>
        <c:ser>
          <c:idx val="2"/>
          <c:order val="2"/>
          <c:tx>
            <c:v>REST BRANDS</c:v>
          </c:tx>
          <c:spPr>
            <a:ln w="25400" cap="rnd">
              <a:noFill/>
              <a:round/>
            </a:ln>
            <a:effectLst/>
          </c:spPr>
          <c:marker>
            <c:symbol val="circle"/>
            <c:size val="8"/>
            <c:spPr>
              <a:solidFill>
                <a:srgbClr val="FF0000"/>
              </a:solidFill>
              <a:ln w="9525">
                <a:solidFill>
                  <a:schemeClr val="accent2">
                    <a:lumMod val="75000"/>
                  </a:schemeClr>
                </a:solidFill>
              </a:ln>
              <a:effectLst/>
            </c:spPr>
          </c:marker>
          <c:dLbls>
            <c:dLbl>
              <c:idx val="0"/>
              <c:tx>
                <c:rich>
                  <a:bodyPr/>
                  <a:lstStyle/>
                  <a:p>
                    <a:fld id="{8FDC67FF-1AF7-BD48-BC50-40E7E2435186}"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F711-4144-9DDD-9EB909B8DA44}"/>
                </c:ext>
              </c:extLst>
            </c:dLbl>
            <c:dLbl>
              <c:idx val="1"/>
              <c:tx>
                <c:rich>
                  <a:bodyPr/>
                  <a:lstStyle/>
                  <a:p>
                    <a:fld id="{63C63B87-1005-455D-B2AC-8CC1A1EE8401}"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711-4144-9DDD-9EB909B8DA44}"/>
                </c:ext>
              </c:extLst>
            </c:dLbl>
            <c:dLbl>
              <c:idx val="2"/>
              <c:tx>
                <c:rich>
                  <a:bodyPr/>
                  <a:lstStyle/>
                  <a:p>
                    <a:fld id="{65EDEDA5-5E43-4537-83BA-F729CF98FF1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711-4144-9DDD-9EB909B8DA44}"/>
                </c:ext>
              </c:extLst>
            </c:dLbl>
            <c:dLbl>
              <c:idx val="3"/>
              <c:tx>
                <c:rich>
                  <a:bodyPr/>
                  <a:lstStyle/>
                  <a:p>
                    <a:fld id="{7158244E-FA17-4753-A337-4C4AA99582ED}"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711-4144-9DDD-9EB909B8DA44}"/>
                </c:ext>
              </c:extLst>
            </c:dLbl>
            <c:dLbl>
              <c:idx val="4"/>
              <c:layout>
                <c:manualLayout>
                  <c:x val="-0.1393775372124493"/>
                  <c:y val="-3.7490987743330928E-2"/>
                </c:manualLayout>
              </c:layout>
              <c:tx>
                <c:rich>
                  <a:bodyPr/>
                  <a:lstStyle/>
                  <a:p>
                    <a:fld id="{6E9F5F80-94F5-0140-8B30-274875F1DB8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F711-4144-9DDD-9EB909B8DA44}"/>
                </c:ext>
              </c:extLst>
            </c:dLbl>
            <c:dLbl>
              <c:idx val="5"/>
              <c:tx>
                <c:rich>
                  <a:bodyPr/>
                  <a:lstStyle/>
                  <a:p>
                    <a:fld id="{DDFEC19E-E3FF-4966-B74F-86068AB106EA}"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711-4144-9DDD-9EB909B8DA44}"/>
                </c:ext>
              </c:extLst>
            </c:dLbl>
            <c:dLbl>
              <c:idx val="6"/>
              <c:tx>
                <c:rich>
                  <a:bodyPr/>
                  <a:lstStyle/>
                  <a:p>
                    <a:fld id="{F7CA6B07-A2E9-440E-9C07-E2BD7FEDB6B2}"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711-4144-9DDD-9EB909B8DA44}"/>
                </c:ext>
              </c:extLst>
            </c:dLbl>
            <c:dLbl>
              <c:idx val="7"/>
              <c:tx>
                <c:rich>
                  <a:bodyPr/>
                  <a:lstStyle/>
                  <a:p>
                    <a:fld id="{07744E64-4F44-4255-8B51-BCC9E6573790}"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711-4144-9DDD-9EB909B8DA44}"/>
                </c:ext>
              </c:extLst>
            </c:dLbl>
            <c:dLbl>
              <c:idx val="8"/>
              <c:layout>
                <c:manualLayout>
                  <c:x val="-8.2543978349120486E-2"/>
                  <c:y val="-1.2977649603460706E-2"/>
                </c:manualLayout>
              </c:layout>
              <c:tx>
                <c:rich>
                  <a:bodyPr/>
                  <a:lstStyle/>
                  <a:p>
                    <a:fld id="{0243C3FA-FB2A-ED4C-AD1B-E1D48638D5E6}"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F711-4144-9DDD-9EB909B8DA44}"/>
                </c:ext>
              </c:extLst>
            </c:dLbl>
            <c:dLbl>
              <c:idx val="9"/>
              <c:tx>
                <c:rich>
                  <a:bodyPr/>
                  <a:lstStyle/>
                  <a:p>
                    <a:fld id="{00EBDC4C-E6F4-4A68-8044-28697670F087}"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711-4144-9DDD-9EB909B8DA4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(STARBUCKS)'!$BE$251:$BE$260</c:f>
              <c:numCache>
                <c:formatCode>0.00%</c:formatCode>
                <c:ptCount val="10"/>
                <c:pt idx="0">
                  <c:v>5.1237623762376235E-2</c:v>
                </c:pt>
                <c:pt idx="1">
                  <c:v>4.3418332184700204E-2</c:v>
                </c:pt>
                <c:pt idx="2">
                  <c:v>4.1666666666666664E-2</c:v>
                </c:pt>
                <c:pt idx="3">
                  <c:v>8.4112149532710276E-2</c:v>
                </c:pt>
                <c:pt idx="4">
                  <c:v>4.3973941368078175E-2</c:v>
                </c:pt>
                <c:pt idx="5">
                  <c:v>0.20459952418715305</c:v>
                </c:pt>
                <c:pt idx="6">
                  <c:v>9.79765708200213E-2</c:v>
                </c:pt>
                <c:pt idx="7">
                  <c:v>0.22227388979307139</c:v>
                </c:pt>
                <c:pt idx="8">
                  <c:v>-1.0033444816053512E-2</c:v>
                </c:pt>
                <c:pt idx="9">
                  <c:v>9.1479820627802688E-2</c:v>
                </c:pt>
              </c:numCache>
            </c:numRef>
          </c:xVal>
          <c:yVal>
            <c:numRef>
              <c:f>'Benchmarking (STARBUCKS)'!$BF$250:$BF$260</c:f>
              <c:numCache>
                <c:formatCode>0.00%</c:formatCode>
                <c:ptCount val="11"/>
                <c:pt idx="0">
                  <c:v>1.4830699697888194E-2</c:v>
                </c:pt>
                <c:pt idx="1">
                  <c:v>1.7034221711763164E-2</c:v>
                </c:pt>
                <c:pt idx="2">
                  <c:v>1.1341993632901781E-2</c:v>
                </c:pt>
                <c:pt idx="3">
                  <c:v>0</c:v>
                </c:pt>
                <c:pt idx="4">
                  <c:v>2.168079166422654E-2</c:v>
                </c:pt>
                <c:pt idx="5">
                  <c:v>-2.7199039030397776E-2</c:v>
                </c:pt>
                <c:pt idx="6">
                  <c:v>2.6901440385298736E-2</c:v>
                </c:pt>
                <c:pt idx="7">
                  <c:v>9.6640366105877895E-2</c:v>
                </c:pt>
                <c:pt idx="8">
                  <c:v>2.0179991917072648E-2</c:v>
                </c:pt>
                <c:pt idx="9">
                  <c:v>6.4469483190536803E-3</c:v>
                </c:pt>
                <c:pt idx="10">
                  <c:v>1.2116590262473359E-2</c:v>
                </c:pt>
              </c:numCache>
            </c:numRef>
          </c:yVal>
          <c:smooth val="0"/>
          <c:extLst>
            <c:ext xmlns:c15="http://schemas.microsoft.com/office/drawing/2012/chart" uri="{02D57815-91ED-43cb-92C2-25804820EDAC}">
              <c15:datalabelsRange>
                <c15:f>'Benchmarking (STARBUCKS)'!$BD$250:$BD$260</c15:f>
                <c15:dlblRangeCache>
                  <c:ptCount val="11"/>
                  <c:pt idx="0">
                    <c:v>Rest Brands Rev</c:v>
                  </c:pt>
                  <c:pt idx="1">
                    <c:v>RB Tim Horton</c:v>
                  </c:pt>
                  <c:pt idx="2">
                    <c:v>RB Burger King</c:v>
                  </c:pt>
                  <c:pt idx="3">
                    <c:v>RB Popeye's</c:v>
                  </c:pt>
                  <c:pt idx="4">
                    <c:v>RB Firehouse Subs</c:v>
                  </c:pt>
                  <c:pt idx="5">
                    <c:v>RB Canada</c:v>
                  </c:pt>
                  <c:pt idx="6">
                    <c:v>RB US</c:v>
                  </c:pt>
                  <c:pt idx="7">
                    <c:v>RB Others</c:v>
                  </c:pt>
                  <c:pt idx="8">
                    <c:v>RB Sales</c:v>
                  </c:pt>
                  <c:pt idx="9">
                    <c:v>RB Francise</c:v>
                  </c:pt>
                  <c:pt idx="10">
                    <c:v>RB Advertising</c:v>
                  </c:pt>
                </c15:dlblRangeCache>
              </c15:datalabelsRange>
            </c:ext>
            <c:ext xmlns:c16="http://schemas.microsoft.com/office/drawing/2014/chart" uri="{C3380CC4-5D6E-409C-BE32-E72D297353CC}">
              <c16:uniqueId val="{0000001C-F711-4144-9DDD-9EB909B8DA44}"/>
            </c:ext>
          </c:extLst>
        </c:ser>
        <c:ser>
          <c:idx val="3"/>
          <c:order val="3"/>
          <c:tx>
            <c:v>LUCKIN</c:v>
          </c:tx>
          <c:spPr>
            <a:ln w="25400" cap="rnd">
              <a:noFill/>
              <a:round/>
            </a:ln>
            <a:effectLst/>
          </c:spPr>
          <c:marker>
            <c:symbol val="circle"/>
            <c:size val="8"/>
            <c:spPr>
              <a:solidFill>
                <a:srgbClr val="00B0F0"/>
              </a:solidFill>
              <a:ln w="9525">
                <a:solidFill>
                  <a:schemeClr val="accent5"/>
                </a:solidFill>
              </a:ln>
              <a:effectLst/>
            </c:spPr>
          </c:marker>
          <c:dLbls>
            <c:dLbl>
              <c:idx val="0"/>
              <c:tx>
                <c:rich>
                  <a:bodyPr/>
                  <a:lstStyle/>
                  <a:p>
                    <a:fld id="{0112603C-6F8A-374F-B203-2FB44444C8CF}" type="CELLRANGE">
                      <a:rPr lang="en-US"/>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F711-4144-9DDD-9EB909B8DA44}"/>
                </c:ext>
              </c:extLst>
            </c:dLbl>
            <c:dLbl>
              <c:idx val="1"/>
              <c:tx>
                <c:rich>
                  <a:bodyPr/>
                  <a:lstStyle/>
                  <a:p>
                    <a:fld id="{9A6364C6-DD6E-46B8-9B46-CDEBB5A59F1D}"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711-4144-9DDD-9EB909B8DA44}"/>
                </c:ext>
              </c:extLst>
            </c:dLbl>
            <c:dLbl>
              <c:idx val="2"/>
              <c:tx>
                <c:rich>
                  <a:bodyPr/>
                  <a:lstStyle/>
                  <a:p>
                    <a:fld id="{160037A7-2ECA-4D2C-AC2F-8BAC3AE1677C}" type="CELLRANGE">
                      <a:rPr lang="en-SG"/>
                      <a:pPr/>
                      <a:t>[CELLRANGE]</a:t>
                    </a:fld>
                    <a:endParaRPr lang="en-SG"/>
                  </a:p>
                </c:rich>
              </c:tx>
              <c:dLblPos val="b"/>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711-4144-9DDD-9EB909B8DA4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(STARBUCKS)'!$BE$261:$BE$263</c:f>
              <c:numCache>
                <c:formatCode>0.00%</c:formatCode>
                <c:ptCount val="3"/>
                <c:pt idx="0">
                  <c:v>0.42968402962232088</c:v>
                </c:pt>
                <c:pt idx="1">
                  <c:v>0.36696004638765911</c:v>
                </c:pt>
                <c:pt idx="2">
                  <c:v>0.64614266913922291</c:v>
                </c:pt>
              </c:numCache>
            </c:numRef>
          </c:xVal>
          <c:yVal>
            <c:numRef>
              <c:f>'Benchmarking (STARBUCKS)'!$BF$261:$BF$263</c:f>
              <c:numCache>
                <c:formatCode>0.00%</c:formatCode>
                <c:ptCount val="3"/>
                <c:pt idx="0">
                  <c:v>4.6474215807637442E-2</c:v>
                </c:pt>
                <c:pt idx="1">
                  <c:v>4.8415584135591994E-2</c:v>
                </c:pt>
                <c:pt idx="2">
                  <c:v>3.9866950936842338E-2</c:v>
                </c:pt>
              </c:numCache>
            </c:numRef>
          </c:yVal>
          <c:smooth val="0"/>
          <c:extLst>
            <c:ext xmlns:c15="http://schemas.microsoft.com/office/drawing/2012/chart" uri="{02D57815-91ED-43cb-92C2-25804820EDAC}">
              <c15:datalabelsRange>
                <c15:f>'Benchmarking (STARBUCKS)'!$BD$261:$BD$263</c15:f>
                <c15:dlblRangeCache>
                  <c:ptCount val="3"/>
                  <c:pt idx="0">
                    <c:v>L Rev</c:v>
                  </c:pt>
                  <c:pt idx="1">
                    <c:v>L Owned</c:v>
                  </c:pt>
                  <c:pt idx="2">
                    <c:v>L Partner</c:v>
                  </c:pt>
                </c15:dlblRangeCache>
              </c15:datalabelsRange>
            </c:ext>
            <c:ext xmlns:c16="http://schemas.microsoft.com/office/drawing/2014/chart" uri="{C3380CC4-5D6E-409C-BE32-E72D297353CC}">
              <c16:uniqueId val="{00000020-F711-4144-9DDD-9EB909B8DA44}"/>
            </c:ext>
          </c:extLst>
        </c:ser>
        <c:ser>
          <c:idx val="4"/>
          <c:order val="4"/>
          <c:tx>
            <c:v>YUM BRANDS</c:v>
          </c:tx>
          <c:spPr>
            <a:ln w="25400" cap="rnd">
              <a:noFill/>
              <a:round/>
            </a:ln>
            <a:effectLst/>
          </c:spPr>
          <c:marker>
            <c:symbol val="circle"/>
            <c:size val="8"/>
            <c:spPr>
              <a:solidFill>
                <a:srgbClr val="A044EA"/>
              </a:solidFill>
              <a:ln w="9525">
                <a:solidFill>
                  <a:srgbClr val="7030A0"/>
                </a:solidFill>
              </a:ln>
              <a:effectLst/>
            </c:spPr>
          </c:marker>
          <c:dLbls>
            <c:dLbl>
              <c:idx val="0"/>
              <c:layout>
                <c:manualLayout>
                  <c:x val="-6.6529040094616049E-2"/>
                  <c:y val="-2.5955299206921412E-2"/>
                </c:manualLayout>
              </c:layout>
              <c:tx>
                <c:rich>
                  <a:bodyPr/>
                  <a:lstStyle/>
                  <a:p>
                    <a:fld id="{4BF0D776-337D-614B-BB91-811EED242DBA}"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F711-4144-9DDD-9EB909B8DA44}"/>
                </c:ext>
              </c:extLst>
            </c:dLbl>
            <c:dLbl>
              <c:idx val="1"/>
              <c:tx>
                <c:rich>
                  <a:bodyPr/>
                  <a:lstStyle/>
                  <a:p>
                    <a:fld id="{256F6880-2781-4956-91F3-C9FD278B181D}"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711-4144-9DDD-9EB909B8DA44}"/>
                </c:ext>
              </c:extLst>
            </c:dLbl>
            <c:dLbl>
              <c:idx val="2"/>
              <c:tx>
                <c:rich>
                  <a:bodyPr/>
                  <a:lstStyle/>
                  <a:p>
                    <a:fld id="{5347D92F-4D1D-40EA-ACFE-4FDC26E0047E}"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711-4144-9DDD-9EB909B8DA44}"/>
                </c:ext>
              </c:extLst>
            </c:dLbl>
            <c:dLbl>
              <c:idx val="3"/>
              <c:layout>
                <c:manualLayout>
                  <c:x val="3.6739369013244114E-3"/>
                  <c:y val="-8.651766402307191E-3"/>
                </c:manualLayout>
              </c:layout>
              <c:tx>
                <c:rich>
                  <a:bodyPr/>
                  <a:lstStyle/>
                  <a:p>
                    <a:fld id="{A05E1636-9AF7-484C-B053-9B0F33BD02D9}"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F711-4144-9DDD-9EB909B8DA44}"/>
                </c:ext>
              </c:extLst>
            </c:dLbl>
            <c:dLbl>
              <c:idx val="4"/>
              <c:layout>
                <c:manualLayout>
                  <c:x val="-7.3646766752261492E-2"/>
                  <c:y val="-2.1629416005767843E-2"/>
                </c:manualLayout>
              </c:layout>
              <c:tx>
                <c:rich>
                  <a:bodyPr/>
                  <a:lstStyle/>
                  <a:p>
                    <a:fld id="{B7EAE22F-F556-204F-8E36-AD27930E666A}"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F711-4144-9DDD-9EB909B8DA44}"/>
                </c:ext>
              </c:extLst>
            </c:dLbl>
            <c:dLbl>
              <c:idx val="5"/>
              <c:tx>
                <c:rich>
                  <a:bodyPr/>
                  <a:lstStyle/>
                  <a:p>
                    <a:fld id="{686C3064-CD14-4C81-BD39-6B609DDAA02E}"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711-4144-9DDD-9EB909B8DA44}"/>
                </c:ext>
              </c:extLst>
            </c:dLbl>
            <c:dLbl>
              <c:idx val="6"/>
              <c:layout>
                <c:manualLayout>
                  <c:x val="1.9959937348833245E-3"/>
                  <c:y val="8.6517664023071372E-3"/>
                </c:manualLayout>
              </c:layout>
              <c:tx>
                <c:rich>
                  <a:bodyPr/>
                  <a:lstStyle/>
                  <a:p>
                    <a:fld id="{1EBAF4C3-0098-CF4E-A529-65FDB4F9C101}"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F711-4144-9DDD-9EB909B8DA44}"/>
                </c:ext>
              </c:extLst>
            </c:dLbl>
            <c:dLbl>
              <c:idx val="7"/>
              <c:layout>
                <c:manualLayout>
                  <c:x val="-1.8497970230040545E-2"/>
                  <c:y val="-1.7303532804614274E-2"/>
                </c:manualLayout>
              </c:layout>
              <c:tx>
                <c:rich>
                  <a:bodyPr/>
                  <a:lstStyle/>
                  <a:p>
                    <a:fld id="{3D05BFC6-1767-0645-BB17-E12F9B106ACD}" type="CELLRANGE">
                      <a:rPr lang="en-US"/>
                      <a:pPr/>
                      <a:t>[CELLRANGE]</a:t>
                    </a:fld>
                    <a:endParaRPr lang="en-SG"/>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F711-4144-9DDD-9EB909B8DA44}"/>
                </c:ext>
              </c:extLst>
            </c:dLbl>
            <c:dLbl>
              <c:idx val="8"/>
              <c:tx>
                <c:rich>
                  <a:bodyPr/>
                  <a:lstStyle/>
                  <a:p>
                    <a:fld id="{D47B0754-3FEC-4B5A-A942-BABCD5D28344}"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711-4144-9DDD-9EB909B8DA44}"/>
                </c:ext>
              </c:extLst>
            </c:dLbl>
            <c:dLbl>
              <c:idx val="9"/>
              <c:tx>
                <c:rich>
                  <a:bodyPr/>
                  <a:lstStyle/>
                  <a:p>
                    <a:fld id="{5B9222D6-4631-49A2-A2B6-E0105BFF231B}"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711-4144-9DDD-9EB909B8DA44}"/>
                </c:ext>
              </c:extLst>
            </c:dLbl>
            <c:dLbl>
              <c:idx val="10"/>
              <c:tx>
                <c:rich>
                  <a:bodyPr/>
                  <a:lstStyle/>
                  <a:p>
                    <a:fld id="{25902FB0-C4C6-4473-B341-683BC591340F}" type="CELLRANGE">
                      <a:rPr lang="en-SG"/>
                      <a:pPr/>
                      <a:t>[CELLRANGE]</a:t>
                    </a:fld>
                    <a:endParaRPr lang="en-SG"/>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711-4144-9DDD-9EB909B8DA44}"/>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(STARBUCKS)'!$BE$264:$BE$274</c:f>
              <c:numCache>
                <c:formatCode>0.00%</c:formatCode>
                <c:ptCount val="11"/>
                <c:pt idx="0">
                  <c:v>8.809113789905948E-2</c:v>
                </c:pt>
                <c:pt idx="1">
                  <c:v>0.14294933849628913</c:v>
                </c:pt>
                <c:pt idx="2">
                  <c:v>8.2167832167832161E-2</c:v>
                </c:pt>
                <c:pt idx="3">
                  <c:v>4.96031746031746E-3</c:v>
                </c:pt>
                <c:pt idx="4">
                  <c:v>-3.0927835051546393E-2</c:v>
                </c:pt>
                <c:pt idx="5">
                  <c:v>4.4311100853911836E-2</c:v>
                </c:pt>
                <c:pt idx="6">
                  <c:v>4.8929663608562692E-2</c:v>
                </c:pt>
                <c:pt idx="7">
                  <c:v>0.15818622360678436</c:v>
                </c:pt>
                <c:pt idx="8">
                  <c:v>0.15399686520376177</c:v>
                </c:pt>
                <c:pt idx="9">
                  <c:v>5.4021244309559936E-2</c:v>
                </c:pt>
                <c:pt idx="10">
                  <c:v>5.5229142185663924E-2</c:v>
                </c:pt>
              </c:numCache>
            </c:numRef>
          </c:xVal>
          <c:yVal>
            <c:numRef>
              <c:f>'Benchmarking (STARBUCKS)'!$BF$264:$BF$274</c:f>
              <c:numCache>
                <c:formatCode>0.00%</c:formatCode>
                <c:ptCount val="11"/>
                <c:pt idx="0">
                  <c:v>6.6123320447879719E-2</c:v>
                </c:pt>
                <c:pt idx="1">
                  <c:v>5.8074418877927414E-2</c:v>
                </c:pt>
                <c:pt idx="2">
                  <c:v>8.4037200121941602E-2</c:v>
                </c:pt>
                <c:pt idx="3">
                  <c:v>4.9477505351510187E-2</c:v>
                </c:pt>
                <c:pt idx="4">
                  <c:v>4.89764452454724E-2</c:v>
                </c:pt>
                <c:pt idx="5">
                  <c:v>7.6383281954417459E-2</c:v>
                </c:pt>
                <c:pt idx="6">
                  <c:v>-1.1767983488791933E-2</c:v>
                </c:pt>
                <c:pt idx="7">
                  <c:v>5.9866314534577691E-2</c:v>
                </c:pt>
                <c:pt idx="8">
                  <c:v>9.3742109514389105E-2</c:v>
                </c:pt>
                <c:pt idx="9">
                  <c:v>4.3697135881497928E-2</c:v>
                </c:pt>
                <c:pt idx="10">
                  <c:v>6.43382589006809E-2</c:v>
                </c:pt>
              </c:numCache>
            </c:numRef>
          </c:yVal>
          <c:smooth val="0"/>
          <c:extLst>
            <c:ext xmlns:c15="http://schemas.microsoft.com/office/drawing/2012/chart" uri="{02D57815-91ED-43cb-92C2-25804820EDAC}">
              <c15:datalabelsRange>
                <c15:f>'Benchmarking (STARBUCKS)'!$BD$264:$BD$274</c15:f>
                <c15:dlblRangeCache>
                  <c:ptCount val="11"/>
                  <c:pt idx="0">
                    <c:v>YUM Brands Rev</c:v>
                  </c:pt>
                  <c:pt idx="1">
                    <c:v>YUM KFC</c:v>
                  </c:pt>
                  <c:pt idx="2">
                    <c:v>YUM Taco Bell</c:v>
                  </c:pt>
                  <c:pt idx="3">
                    <c:v>YUM Pizza Hut</c:v>
                  </c:pt>
                  <c:pt idx="4">
                    <c:v>YUM Habit</c:v>
                  </c:pt>
                  <c:pt idx="5">
                    <c:v>YUM US</c:v>
                  </c:pt>
                  <c:pt idx="6">
                    <c:v>YUM China</c:v>
                  </c:pt>
                  <c:pt idx="7">
                    <c:v>YUM Others</c:v>
                  </c:pt>
                  <c:pt idx="8">
                    <c:v>YUM Sales</c:v>
                  </c:pt>
                  <c:pt idx="9">
                    <c:v>YUM Franchise</c:v>
                  </c:pt>
                  <c:pt idx="10">
                    <c:v>YUM Advertising</c:v>
                  </c:pt>
                </c15:dlblRangeCache>
              </c15:datalabelsRange>
            </c:ext>
            <c:ext xmlns:c16="http://schemas.microsoft.com/office/drawing/2014/chart" uri="{C3380CC4-5D6E-409C-BE32-E72D297353CC}">
              <c16:uniqueId val="{0000002C-F711-4144-9DDD-9EB909B8DA44}"/>
            </c:ext>
          </c:extLst>
        </c:ser>
        <c:ser>
          <c:idx val="5"/>
          <c:order val="5"/>
          <c:tx>
            <c:v>OTHERS</c:v>
          </c:tx>
          <c:spPr>
            <a:ln w="25400" cap="rnd">
              <a:noFill/>
              <a:round/>
            </a:ln>
            <a:effectLst/>
          </c:spPr>
          <c:marker>
            <c:symbol val="circle"/>
            <c:size val="8"/>
            <c:spPr>
              <a:solidFill>
                <a:srgbClr val="FFFF00"/>
              </a:solidFill>
              <a:ln w="9525">
                <a:solidFill>
                  <a:schemeClr val="accent4">
                    <a:lumMod val="60000"/>
                    <a:lumOff val="40000"/>
                  </a:schemeClr>
                </a:solidFill>
              </a:ln>
              <a:effectLst/>
            </c:spPr>
          </c:marker>
          <c:dLbls>
            <c:dLbl>
              <c:idx val="0"/>
              <c:tx>
                <c:rich>
                  <a:bodyPr/>
                  <a:lstStyle/>
                  <a:p>
                    <a:fld id="{55D93F9B-C22B-624C-A465-FAFA7615ADEC}"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F711-4144-9DDD-9EB909B8DA44}"/>
                </c:ext>
              </c:extLst>
            </c:dLbl>
            <c:dLbl>
              <c:idx val="1"/>
              <c:tx>
                <c:rich>
                  <a:bodyPr/>
                  <a:lstStyle/>
                  <a:p>
                    <a:fld id="{533EB187-ACA1-4699-ABC1-320A7251D422}"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711-4144-9DDD-9EB909B8DA44}"/>
                </c:ext>
              </c:extLst>
            </c:dLbl>
            <c:dLbl>
              <c:idx val="2"/>
              <c:tx>
                <c:rich>
                  <a:bodyPr/>
                  <a:lstStyle/>
                  <a:p>
                    <a:fld id="{18B1154F-1CB5-47A7-8B05-581E23640563}"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711-4144-9DDD-9EB909B8DA44}"/>
                </c:ext>
              </c:extLst>
            </c:dLbl>
            <c:dLbl>
              <c:idx val="3"/>
              <c:tx>
                <c:rich>
                  <a:bodyPr/>
                  <a:lstStyle/>
                  <a:p>
                    <a:fld id="{56A74976-1F4F-4907-A30D-8699062953DF}"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711-4144-9DDD-9EB909B8DA44}"/>
                </c:ext>
              </c:extLst>
            </c:dLbl>
            <c:dLbl>
              <c:idx val="4"/>
              <c:tx>
                <c:rich>
                  <a:bodyPr/>
                  <a:lstStyle/>
                  <a:p>
                    <a:fld id="{C6A1348F-1FE3-488E-981F-A01A2A013222}"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711-4144-9DDD-9EB909B8DA44}"/>
                </c:ext>
              </c:extLst>
            </c:dLbl>
            <c:dLbl>
              <c:idx val="5"/>
              <c:tx>
                <c:rich>
                  <a:bodyPr/>
                  <a:lstStyle/>
                  <a:p>
                    <a:fld id="{68FBECCC-93AF-4D0D-9CDC-58333BC4C7CE}"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711-4144-9DDD-9EB909B8DA44}"/>
                </c:ext>
              </c:extLst>
            </c:dLbl>
            <c:dLbl>
              <c:idx val="6"/>
              <c:tx>
                <c:rich>
                  <a:bodyPr/>
                  <a:lstStyle/>
                  <a:p>
                    <a:fld id="{07D2C030-C8FB-46B8-9588-FEB45724ADA2}"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711-4144-9DDD-9EB909B8DA44}"/>
                </c:ext>
              </c:extLst>
            </c:dLbl>
            <c:dLbl>
              <c:idx val="7"/>
              <c:tx>
                <c:rich>
                  <a:bodyPr/>
                  <a:lstStyle/>
                  <a:p>
                    <a:fld id="{98C7562C-4259-4714-88F4-EAD1DD711FB5}"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711-4144-9DDD-9EB909B8DA44}"/>
                </c:ext>
              </c:extLst>
            </c:dLbl>
            <c:dLbl>
              <c:idx val="8"/>
              <c:tx>
                <c:rich>
                  <a:bodyPr/>
                  <a:lstStyle/>
                  <a:p>
                    <a:fld id="{8F8BF5B0-2568-4A9F-AE57-ABC24B000524}"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711-4144-9DDD-9EB909B8DA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(STARBUCKS)'!$BE$275:$BE$283</c:f>
              <c:numCache>
                <c:formatCode>0.00%</c:formatCode>
                <c:ptCount val="9"/>
                <c:pt idx="0">
                  <c:v>4.7499045842287417E-2</c:v>
                </c:pt>
                <c:pt idx="1">
                  <c:v>8.6137955454223522E-2</c:v>
                </c:pt>
                <c:pt idx="2">
                  <c:v>3.5520149621791397E-2</c:v>
                </c:pt>
                <c:pt idx="3">
                  <c:v>6.3382871776709218E-2</c:v>
                </c:pt>
                <c:pt idx="4">
                  <c:v>1.8699135164998618E-2</c:v>
                </c:pt>
                <c:pt idx="5">
                  <c:v>2.2546650118666578E-2</c:v>
                </c:pt>
                <c:pt idx="6">
                  <c:v>7.621019705636671E-2</c:v>
                </c:pt>
                <c:pt idx="7">
                  <c:v>0.18704887396477882</c:v>
                </c:pt>
                <c:pt idx="8">
                  <c:v>0.12266606314360078</c:v>
                </c:pt>
              </c:numCache>
            </c:numRef>
          </c:xVal>
          <c:yVal>
            <c:numRef>
              <c:f>'Benchmarking (STARBUCKS)'!$BF$275:$BF$283</c:f>
              <c:numCache>
                <c:formatCode>0.00%</c:formatCode>
                <c:ptCount val="9"/>
                <c:pt idx="0">
                  <c:v>2.1280110498308247E-2</c:v>
                </c:pt>
                <c:pt idx="1">
                  <c:v>2.3867612807679794E-2</c:v>
                </c:pt>
                <c:pt idx="2">
                  <c:v>1.3242218207991874E-2</c:v>
                </c:pt>
                <c:pt idx="3">
                  <c:v>8.4035953484242754E-3</c:v>
                </c:pt>
                <c:pt idx="4">
                  <c:v>-5.4048607744261457E-4</c:v>
                </c:pt>
                <c:pt idx="5">
                  <c:v>4.7029500398262147E-2</c:v>
                </c:pt>
                <c:pt idx="6">
                  <c:v>2.9421895087762939E-2</c:v>
                </c:pt>
                <c:pt idx="7">
                  <c:v>5.5754586095857261E-2</c:v>
                </c:pt>
                <c:pt idx="8">
                  <c:v>1.0538442654527636E-2</c:v>
                </c:pt>
              </c:numCache>
            </c:numRef>
          </c:yVal>
          <c:smooth val="0"/>
          <c:extLst>
            <c:ext xmlns:c15="http://schemas.microsoft.com/office/drawing/2012/chart" uri="{02D57815-91ED-43cb-92C2-25804820EDAC}">
              <c15:datalabelsRange>
                <c15:f>'Benchmarking (STARBUCKS)'!$BD$275:$BD$283</c15:f>
                <c15:dlblRangeCache>
                  <c:ptCount val="9"/>
                  <c:pt idx="0">
                    <c:v>CHEESECAKE Rev</c:v>
                  </c:pt>
                  <c:pt idx="1">
                    <c:v>DARDEN Rev</c:v>
                  </c:pt>
                  <c:pt idx="2">
                    <c:v>CHIPOTLE Rev</c:v>
                  </c:pt>
                  <c:pt idx="3">
                    <c:v>DOUTOR NICHIRES Rev</c:v>
                  </c:pt>
                  <c:pt idx="4">
                    <c:v>COCA COLA Rev</c:v>
                  </c:pt>
                  <c:pt idx="5">
                    <c:v>PEPSI Rev</c:v>
                  </c:pt>
                  <c:pt idx="6">
                    <c:v>MONSTER Rev</c:v>
                  </c:pt>
                  <c:pt idx="7">
                    <c:v>DUTCH BROS Rev</c:v>
                  </c:pt>
                  <c:pt idx="8">
                    <c:v>JDE PEETS Rev</c:v>
                  </c:pt>
                </c15:dlblRangeCache>
              </c15:datalabelsRange>
            </c:ext>
            <c:ext xmlns:c16="http://schemas.microsoft.com/office/drawing/2014/chart" uri="{C3380CC4-5D6E-409C-BE32-E72D297353CC}">
              <c16:uniqueId val="{00000036-F711-4144-9DDD-9EB909B8DA44}"/>
            </c:ext>
          </c:extLst>
        </c:ser>
        <c:ser>
          <c:idx val="6"/>
          <c:order val="6"/>
          <c:tx>
            <c:v>CAGR Line</c:v>
          </c:tx>
          <c:spPr>
            <a:ln w="25400" cap="rnd">
              <a:solidFill>
                <a:srgbClr val="A044EA"/>
              </a:solidFill>
              <a:round/>
            </a:ln>
            <a:effectLst/>
          </c:spPr>
          <c:marker>
            <c:symbol val="circle"/>
            <c:size val="5"/>
            <c:spPr>
              <a:solidFill>
                <a:schemeClr val="accent1">
                  <a:lumMod val="60000"/>
                </a:schemeClr>
              </a:solidFill>
              <a:ln w="9525">
                <a:solidFill>
                  <a:schemeClr val="accent1">
                    <a:lumMod val="60000"/>
                  </a:schemeClr>
                </a:solidFill>
              </a:ln>
              <a:effectLst/>
            </c:spPr>
          </c:marker>
          <c:dLbls>
            <c:dLbl>
              <c:idx val="0"/>
              <c:layout>
                <c:manualLayout>
                  <c:x val="-1.6051378219129917E-2"/>
                  <c:y val="2.0190406984995603E-2"/>
                </c:manualLayout>
              </c:layout>
              <c:tx>
                <c:rich>
                  <a:bodyPr/>
                  <a:lstStyle/>
                  <a:p>
                    <a:fld id="{F7A042A7-174C-5444-99B3-2A0970ED3326}"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F711-4144-9DDD-9EB909B8DA44}"/>
                </c:ext>
              </c:extLst>
            </c:dLbl>
            <c:dLbl>
              <c:idx val="1"/>
              <c:tx>
                <c:rich>
                  <a:bodyPr/>
                  <a:lstStyle/>
                  <a:p>
                    <a:fld id="{DCEED523-DA16-4252-AE08-F95893789A51}" type="CELLRANGE">
                      <a:rPr lang="en-SG"/>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711-4144-9DDD-9EB909B8DA4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(STARBUCKS)'!$BE$292:$BE$293</c:f>
              <c:numCache>
                <c:formatCode>0.00%</c:formatCode>
                <c:ptCount val="2"/>
                <c:pt idx="0">
                  <c:v>-9.0170376675160438E-2</c:v>
                </c:pt>
                <c:pt idx="1">
                  <c:v>0.64614266913922291</c:v>
                </c:pt>
              </c:numCache>
            </c:numRef>
          </c:xVal>
          <c:yVal>
            <c:numRef>
              <c:f>'Benchmarking (STARBUCKS)'!$BF$292:$BF$293</c:f>
              <c:numCache>
                <c:formatCode>0.00%</c:formatCode>
                <c:ptCount val="2"/>
                <c:pt idx="0">
                  <c:v>1.9734843618119613E-2</c:v>
                </c:pt>
                <c:pt idx="1">
                  <c:v>1.9734843618119613E-2</c:v>
                </c:pt>
              </c:numCache>
            </c:numRef>
          </c:yVal>
          <c:smooth val="0"/>
          <c:extLst>
            <c:ext xmlns:c15="http://schemas.microsoft.com/office/drawing/2012/chart" uri="{02D57815-91ED-43cb-92C2-25804820EDAC}">
              <c15:datalabelsRange>
                <c15:f>'Benchmarking (STARBUCKS)'!$BD$292:$BD$293</c15:f>
                <c15:dlblRangeCache>
                  <c:ptCount val="2"/>
                  <c:pt idx="0">
                    <c:v>50%</c:v>
                  </c:pt>
                  <c:pt idx="1">
                    <c:v>50%</c:v>
                  </c:pt>
                </c15:dlblRangeCache>
              </c15:datalabelsRange>
            </c:ext>
            <c:ext xmlns:c16="http://schemas.microsoft.com/office/drawing/2014/chart" uri="{C3380CC4-5D6E-409C-BE32-E72D297353CC}">
              <c16:uniqueId val="{00000039-F711-4144-9DDD-9EB909B8DA44}"/>
            </c:ext>
          </c:extLst>
        </c:ser>
        <c:ser>
          <c:idx val="7"/>
          <c:order val="7"/>
          <c:tx>
            <c:v>YOY Line</c:v>
          </c:tx>
          <c:spPr>
            <a:ln w="25400" cap="rnd">
              <a:solidFill>
                <a:srgbClr val="A044EA"/>
              </a:solidFill>
              <a:round/>
            </a:ln>
            <a:effectLst/>
          </c:spPr>
          <c:marker>
            <c:symbol val="circle"/>
            <c:size val="5"/>
            <c:spPr>
              <a:solidFill>
                <a:schemeClr val="accent2">
                  <a:lumMod val="60000"/>
                </a:schemeClr>
              </a:solidFill>
              <a:ln w="9525">
                <a:solidFill>
                  <a:schemeClr val="accent2">
                    <a:lumMod val="60000"/>
                  </a:schemeClr>
                </a:solidFill>
              </a:ln>
              <a:effectLst/>
            </c:spPr>
          </c:marker>
          <c:dLbls>
            <c:dLbl>
              <c:idx val="0"/>
              <c:layout>
                <c:manualLayout>
                  <c:x val="4.0595399188092509E-3"/>
                  <c:y val="1.1535688536409516E-2"/>
                </c:manualLayout>
              </c:layout>
              <c:tx>
                <c:rich>
                  <a:bodyPr/>
                  <a:lstStyle/>
                  <a:p>
                    <a:fld id="{18CA7904-A136-BA44-AB46-B49130D8190D}"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F711-4144-9DDD-9EB909B8DA44}"/>
                </c:ext>
              </c:extLst>
            </c:dLbl>
            <c:dLbl>
              <c:idx val="1"/>
              <c:layout>
                <c:manualLayout>
                  <c:x val="-3.5182679296346414E-2"/>
                  <c:y val="-2.4513338139870222E-2"/>
                </c:manualLayout>
              </c:layout>
              <c:tx>
                <c:rich>
                  <a:bodyPr/>
                  <a:lstStyle/>
                  <a:p>
                    <a:fld id="{1BE2911D-E234-8F4E-AD38-4CBCCC8CE6F9}"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F711-4144-9DDD-9EB909B8DA4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C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'Benchmarking (STARBUCKS)'!$BE$295:$BE$296</c:f>
              <c:numCache>
                <c:formatCode>0.00%</c:formatCode>
                <c:ptCount val="2"/>
                <c:pt idx="0">
                  <c:v>5.3534065620645679E-2</c:v>
                </c:pt>
                <c:pt idx="1">
                  <c:v>5.3534065620645679E-2</c:v>
                </c:pt>
              </c:numCache>
            </c:numRef>
          </c:xVal>
          <c:yVal>
            <c:numRef>
              <c:f>'Benchmarking (STARBUCKS)'!$BF$295:$BF$296</c:f>
              <c:numCache>
                <c:formatCode>0.00%</c:formatCode>
                <c:ptCount val="2"/>
                <c:pt idx="0">
                  <c:v>-2.7199039030397776E-2</c:v>
                </c:pt>
                <c:pt idx="1">
                  <c:v>9.6640366105877895E-2</c:v>
                </c:pt>
              </c:numCache>
            </c:numRef>
          </c:yVal>
          <c:smooth val="0"/>
          <c:extLst>
            <c:ext xmlns:c15="http://schemas.microsoft.com/office/drawing/2012/chart" uri="{02D57815-91ED-43cb-92C2-25804820EDAC}">
              <c15:datalabelsRange>
                <c15:f>'Benchmarking (STARBUCKS)'!$BD$295:$BD$296</c15:f>
                <c15:dlblRangeCache>
                  <c:ptCount val="2"/>
                  <c:pt idx="0">
                    <c:v>50%</c:v>
                  </c:pt>
                  <c:pt idx="1">
                    <c:v>50%</c:v>
                  </c:pt>
                </c15:dlblRangeCache>
              </c15:datalabelsRange>
            </c:ext>
            <c:ext xmlns:c16="http://schemas.microsoft.com/office/drawing/2014/chart" uri="{C3380CC4-5D6E-409C-BE32-E72D297353CC}">
              <c16:uniqueId val="{0000003C-F711-4144-9DDD-9EB909B8DA44}"/>
            </c:ext>
          </c:extLst>
        </c:ser>
        <c:dLbls>
          <c:showLegendKey val="0"/>
          <c:showVal val="0"/>
          <c:showCatName val="0"/>
          <c:showSerName val="0"/>
          <c:showPercent val="0"/>
          <c:showBubbleSize val="0"/>
        </c:dLbls>
        <c:axId val="1428992255"/>
        <c:axId val="1428980159"/>
      </c:scatterChart>
      <c:valAx>
        <c:axId val="1428992255"/>
        <c:scaling>
          <c:orientation val="minMax"/>
          <c:max val="0.2"/>
          <c:min val="-0.1"/>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GB" sz="1200" b="1"/>
                  <a:t>YOY</a:t>
                </a:r>
                <a:r>
                  <a:rPr lang="en-GB" sz="1200" b="1" baseline="0"/>
                  <a:t> TTM</a:t>
                </a:r>
                <a:endParaRPr lang="en-GB"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8980159"/>
        <c:crosses val="autoZero"/>
        <c:crossBetween val="midCat"/>
      </c:valAx>
      <c:valAx>
        <c:axId val="1428980159"/>
        <c:scaling>
          <c:orientation val="minMax"/>
          <c:max val="0.04"/>
          <c:min val="-0.0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1"/>
                  <a:t>CAGR</a:t>
                </a:r>
                <a:r>
                  <a:rPr lang="en-GB" sz="1200" b="1" baseline="0"/>
                  <a:t> 5Q</a:t>
                </a:r>
                <a:endParaRPr lang="en-GB" sz="1200" b="1"/>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2899225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56</xdr:col>
      <xdr:colOff>778819</xdr:colOff>
      <xdr:row>301</xdr:row>
      <xdr:rowOff>46970</xdr:rowOff>
    </xdr:from>
    <xdr:to>
      <xdr:col>58</xdr:col>
      <xdr:colOff>454438</xdr:colOff>
      <xdr:row>309</xdr:row>
      <xdr:rowOff>149980</xdr:rowOff>
    </xdr:to>
    <mc:AlternateContent xmlns:mc="http://schemas.openxmlformats.org/markup-compatibility/2006">
      <mc:Choice xmlns:sle15="http://schemas.microsoft.com/office/drawing/2012/slicer" Requires="sle15">
        <xdr:graphicFrame macro="">
          <xdr:nvGraphicFramePr>
            <xdr:cNvPr id="2" name="SEGMENT 3">
              <a:extLst>
                <a:ext uri="{FF2B5EF4-FFF2-40B4-BE49-F238E27FC236}">
                  <a16:creationId xmlns:a16="http://schemas.microsoft.com/office/drawing/2014/main" id="{E561924E-CFFF-445F-9F0F-77BB032A3B4C}"/>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53337769" y="64074020"/>
              <a:ext cx="1390119" cy="1703210"/>
            </a:xfrm>
            <a:prstGeom prst="rect">
              <a:avLst/>
            </a:prstGeom>
            <a:solidFill>
              <a:prstClr val="white"/>
            </a:solidFill>
            <a:ln w="1">
              <a:solidFill>
                <a:prstClr val="green"/>
              </a:solidFill>
            </a:ln>
          </xdr:spPr>
          <xdr:txBody>
            <a:bodyPr vertOverflow="clip" horzOverflow="clip"/>
            <a:lstStyle/>
            <a:p>
              <a:r>
                <a:rPr lang="en-S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60</xdr:col>
      <xdr:colOff>298149</xdr:colOff>
      <xdr:row>301</xdr:row>
      <xdr:rowOff>41426</xdr:rowOff>
    </xdr:from>
    <xdr:to>
      <xdr:col>72</xdr:col>
      <xdr:colOff>382814</xdr:colOff>
      <xdr:row>329</xdr:row>
      <xdr:rowOff>183243</xdr:rowOff>
    </xdr:to>
    <xdr:graphicFrame macro="">
      <xdr:nvGraphicFramePr>
        <xdr:cNvPr id="3" name="Chart 2">
          <a:extLst>
            <a:ext uri="{FF2B5EF4-FFF2-40B4-BE49-F238E27FC236}">
              <a16:creationId xmlns:a16="http://schemas.microsoft.com/office/drawing/2014/main" id="{143A425D-7BE6-4481-B154-D41EB1D8E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60</xdr:col>
      <xdr:colOff>92075</xdr:colOff>
      <xdr:row>231</xdr:row>
      <xdr:rowOff>187325</xdr:rowOff>
    </xdr:from>
    <xdr:to>
      <xdr:col>70</xdr:col>
      <xdr:colOff>482600</xdr:colOff>
      <xdr:row>275</xdr:row>
      <xdr:rowOff>50800</xdr:rowOff>
    </xdr:to>
    <xdr:graphicFrame macro="">
      <xdr:nvGraphicFramePr>
        <xdr:cNvPr id="4" name="Chart 3">
          <a:extLst>
            <a:ext uri="{FF2B5EF4-FFF2-40B4-BE49-F238E27FC236}">
              <a16:creationId xmlns:a16="http://schemas.microsoft.com/office/drawing/2014/main" id="{7CA5CB5A-0A73-452D-90D1-00E7CEB48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58</xdr:col>
      <xdr:colOff>76200</xdr:colOff>
      <xdr:row>245</xdr:row>
      <xdr:rowOff>92075</xdr:rowOff>
    </xdr:from>
    <xdr:to>
      <xdr:col>59</xdr:col>
      <xdr:colOff>685800</xdr:colOff>
      <xdr:row>252</xdr:row>
      <xdr:rowOff>196850</xdr:rowOff>
    </xdr:to>
    <mc:AlternateContent xmlns:mc="http://schemas.openxmlformats.org/markup-compatibility/2006">
      <mc:Choice xmlns:sle15="http://schemas.microsoft.com/office/drawing/2012/slicer" Requires="sle15">
        <xdr:graphicFrame macro="">
          <xdr:nvGraphicFramePr>
            <xdr:cNvPr id="5" name="SEGMENT 5">
              <a:extLst>
                <a:ext uri="{FF2B5EF4-FFF2-40B4-BE49-F238E27FC236}">
                  <a16:creationId xmlns:a16="http://schemas.microsoft.com/office/drawing/2014/main" id="{B82CEB28-8A92-4826-86A8-D9FAC0DF59D3}"/>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dr:sp macro="" textlink="">
          <xdr:nvSpPr>
            <xdr:cNvPr id="0" name=""/>
            <xdr:cNvSpPr>
              <a:spLocks noTextEdit="1"/>
            </xdr:cNvSpPr>
          </xdr:nvSpPr>
          <xdr:spPr>
            <a:xfrm>
              <a:off x="54349650" y="52917725"/>
              <a:ext cx="1466850" cy="1504950"/>
            </a:xfrm>
            <a:prstGeom prst="rect">
              <a:avLst/>
            </a:prstGeom>
            <a:solidFill>
              <a:prstClr val="white"/>
            </a:solidFill>
            <a:ln w="1">
              <a:solidFill>
                <a:prstClr val="green"/>
              </a:solidFill>
            </a:ln>
          </xdr:spPr>
          <xdr:txBody>
            <a:bodyPr vertOverflow="clip" horzOverflow="clip"/>
            <a:lstStyle/>
            <a:p>
              <a:r>
                <a:rPr lang="en-S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58</xdr:col>
      <xdr:colOff>63500</xdr:colOff>
      <xdr:row>232</xdr:row>
      <xdr:rowOff>28575</xdr:rowOff>
    </xdr:from>
    <xdr:to>
      <xdr:col>59</xdr:col>
      <xdr:colOff>746125</xdr:colOff>
      <xdr:row>242</xdr:row>
      <xdr:rowOff>190500</xdr:rowOff>
    </xdr:to>
    <mc:AlternateContent xmlns:mc="http://schemas.openxmlformats.org/markup-compatibility/2006">
      <mc:Choice xmlns:sle15="http://schemas.microsoft.com/office/drawing/2012/slicer" Requires="sle15">
        <xdr:graphicFrame macro="">
          <xdr:nvGraphicFramePr>
            <xdr:cNvPr id="6" name="COMPANY 1">
              <a:extLst>
                <a:ext uri="{FF2B5EF4-FFF2-40B4-BE49-F238E27FC236}">
                  <a16:creationId xmlns:a16="http://schemas.microsoft.com/office/drawing/2014/main" id="{3F31B884-B7DA-4DB6-B0B7-E6CDA3DA7F92}"/>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dr:sp macro="" textlink="">
          <xdr:nvSpPr>
            <xdr:cNvPr id="0" name=""/>
            <xdr:cNvSpPr>
              <a:spLocks noTextEdit="1"/>
            </xdr:cNvSpPr>
          </xdr:nvSpPr>
          <xdr:spPr>
            <a:xfrm>
              <a:off x="54336950" y="50253900"/>
              <a:ext cx="1539875" cy="2162175"/>
            </a:xfrm>
            <a:prstGeom prst="rect">
              <a:avLst/>
            </a:prstGeom>
            <a:solidFill>
              <a:prstClr val="white"/>
            </a:solidFill>
            <a:ln w="1">
              <a:solidFill>
                <a:prstClr val="green"/>
              </a:solidFill>
            </a:ln>
          </xdr:spPr>
          <xdr:txBody>
            <a:bodyPr vertOverflow="clip" horzOverflow="clip"/>
            <a:lstStyle/>
            <a:p>
              <a:r>
                <a:rPr lang="en-S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71</xdr:col>
      <xdr:colOff>171450</xdr:colOff>
      <xdr:row>232</xdr:row>
      <xdr:rowOff>0</xdr:rowOff>
    </xdr:from>
    <xdr:to>
      <xdr:col>81</xdr:col>
      <xdr:colOff>390525</xdr:colOff>
      <xdr:row>275</xdr:row>
      <xdr:rowOff>69850</xdr:rowOff>
    </xdr:to>
    <xdr:graphicFrame macro="">
      <xdr:nvGraphicFramePr>
        <xdr:cNvPr id="7" name="Chart 6">
          <a:extLst>
            <a:ext uri="{FF2B5EF4-FFF2-40B4-BE49-F238E27FC236}">
              <a16:creationId xmlns:a16="http://schemas.microsoft.com/office/drawing/2014/main" id="{1BFAF9A9-B974-4186-844D-53CFD90D2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d.docs.live.net/517dc49250f45e7e/Desktop/SCTP%20-APC%20Data%20Analytics/PACE-SCTP-DA-02-Analysing%20and%20Interpreting%20Data%20(M3)/Assignment/Assignment%204/3.%20Worked%20Out%20Solution%20-%20Benchmarking%20(3%20Companies)%20vJAN%2026%20(updated%20MAR%2026)%20v2b.xlsx" TargetMode="External"/><Relationship Id="rId2" Type="http://schemas.microsoft.com/office/2019/04/relationships/externalLinkLongPath" Target="/517dc49250f45e7e/Desktop/SCTP%20-APC%20Data%20Analytics/PACE-SCTP-DA-02-Analysing%20and%20Interpreting%20Data%20(M3)/Assignment/Assignment%204/3.%20Worked%20Out%20Solution%20-%20Benchmarking%20(3%20Companies)%20vJAN%2026%20(updated%20MAR%2026)%20v2b.xlsx?306B7704" TargetMode="External"/><Relationship Id="rId1" Type="http://schemas.openxmlformats.org/officeDocument/2006/relationships/externalLinkPath" Target="file:///\\306B7704\3.%20Worked%20Out%20Solution%20-%20Benchmarking%20(3%20Companies)%20vJAN%2026%20(updated%20MAR%2026)%20v2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Benchmarking (AMAZON)"/>
      <sheetName val="Benchmarking (NIKE)"/>
      <sheetName val="Benchmarking (APPLE)"/>
      <sheetName val="Benchmarking (STARBUCKS)"/>
    </sheetNames>
    <sheetDataSet>
      <sheetData sheetId="0"/>
      <sheetData sheetId="1"/>
      <sheetData sheetId="2"/>
      <sheetData sheetId="3">
        <row r="234">
          <cell r="BD234" t="str">
            <v>Starbucks Rev</v>
          </cell>
          <cell r="BE234">
            <v>4.2961434297775582E-2</v>
          </cell>
          <cell r="BF234">
            <v>1.7887227272861184E-2</v>
          </cell>
        </row>
        <row r="235">
          <cell r="BD235" t="str">
            <v>SB Company-Op</v>
          </cell>
          <cell r="BE235">
            <v>4.5361945771062541E-2</v>
          </cell>
          <cell r="BF235">
            <v>1.9289695319166578E-2</v>
          </cell>
        </row>
        <row r="236">
          <cell r="BD236" t="str">
            <v>SB Licensed</v>
          </cell>
          <cell r="BE236">
            <v>-2.3310180502169132E-2</v>
          </cell>
          <cell r="BF236">
            <v>1.5931178122619016E-4</v>
          </cell>
        </row>
        <row r="237">
          <cell r="BD237" t="str">
            <v>SB Royalty</v>
          </cell>
          <cell r="BE237">
            <v>0.16029411764705886</v>
          </cell>
          <cell r="BF237">
            <v>3.5002220240370141E-2</v>
          </cell>
        </row>
        <row r="238">
          <cell r="BD238" t="str">
            <v>SB North America</v>
          </cell>
          <cell r="BE238">
            <v>2.3041115706311111E-2</v>
          </cell>
          <cell r="BF238">
            <v>1.7003278007729605E-2</v>
          </cell>
        </row>
        <row r="239">
          <cell r="BD239" t="str">
            <v>SB International</v>
          </cell>
          <cell r="BE239">
            <v>8.8227705427830469E-2</v>
          </cell>
          <cell r="BF239">
            <v>1.7514263082706982E-2</v>
          </cell>
        </row>
        <row r="240">
          <cell r="BD240" t="str">
            <v>SB Channel Devt</v>
          </cell>
          <cell r="BE240">
            <v>0.15460075628870507</v>
          </cell>
          <cell r="BF240">
            <v>3.1129470010790472E-2</v>
          </cell>
        </row>
        <row r="241">
          <cell r="BD241" t="str">
            <v>SB Beverage</v>
          </cell>
          <cell r="BE241">
            <v>4.2993688831976684E-2</v>
          </cell>
          <cell r="BF241">
            <v>1.5677006646583003E-2</v>
          </cell>
        </row>
        <row r="242">
          <cell r="BD242" t="str">
            <v>SB Food</v>
          </cell>
          <cell r="BE242">
            <v>5.2812384813859171E-2</v>
          </cell>
          <cell r="BF242">
            <v>2.4766727078986417E-2</v>
          </cell>
        </row>
        <row r="243">
          <cell r="BD243" t="str">
            <v>SB Packaged Drinks</v>
          </cell>
          <cell r="BE243">
            <v>3.3809726962457265E-2</v>
          </cell>
          <cell r="BF243">
            <v>1.8146130604321797E-2</v>
          </cell>
        </row>
        <row r="244">
          <cell r="BD244" t="str">
            <v>McDonalds Rev</v>
          </cell>
          <cell r="BE244">
            <v>3.7228501986806065E-2</v>
          </cell>
          <cell r="BF244">
            <v>3.8973467989722455E-3</v>
          </cell>
        </row>
        <row r="245">
          <cell r="BD245" t="str">
            <v>McD Company Op</v>
          </cell>
          <cell r="BE245">
            <v>-9.4050296462891026E-3</v>
          </cell>
          <cell r="BF245">
            <v>-9.1258941400198523E-3</v>
          </cell>
        </row>
        <row r="246">
          <cell r="BD246" t="str">
            <v>McD Franchised</v>
          </cell>
          <cell r="BE246">
            <v>5.304688693173143E-2</v>
          </cell>
          <cell r="BF246">
            <v>1.0412633096245072E-2</v>
          </cell>
        </row>
        <row r="247">
          <cell r="BD247" t="str">
            <v>McD US</v>
          </cell>
          <cell r="BE247">
            <v>2.0813664185938243E-2</v>
          </cell>
          <cell r="BF247">
            <v>-4.472833507324192E-3</v>
          </cell>
        </row>
        <row r="248">
          <cell r="BD248" t="str">
            <v>McD Int'l (Op)</v>
          </cell>
          <cell r="BE248">
            <v>9.994575595768046E-2</v>
          </cell>
          <cell r="BF248">
            <v>1.7556261412216445E-2</v>
          </cell>
        </row>
        <row r="249">
          <cell r="BD249" t="str">
            <v>McD Int'l (Licensed)</v>
          </cell>
          <cell r="BE249">
            <v>-9.0170376675160438E-2</v>
          </cell>
          <cell r="BF249">
            <v>-2.1362990053975572E-2</v>
          </cell>
        </row>
        <row r="250">
          <cell r="BD250" t="str">
            <v>Rest Brands Rev</v>
          </cell>
          <cell r="BF250">
            <v>1.4830699697888194E-2</v>
          </cell>
        </row>
        <row r="251">
          <cell r="BD251" t="str">
            <v>RB Tim Horton</v>
          </cell>
          <cell r="BE251">
            <v>5.1237623762376235E-2</v>
          </cell>
          <cell r="BF251">
            <v>1.7034221711763164E-2</v>
          </cell>
        </row>
        <row r="252">
          <cell r="BD252" t="str">
            <v>RB Burger King</v>
          </cell>
          <cell r="BE252">
            <v>4.3418332184700204E-2</v>
          </cell>
          <cell r="BF252">
            <v>1.1341993632901781E-2</v>
          </cell>
        </row>
        <row r="253">
          <cell r="BD253" t="str">
            <v>RB Popeye's</v>
          </cell>
          <cell r="BE253">
            <v>4.1666666666666664E-2</v>
          </cell>
          <cell r="BF253">
            <v>0</v>
          </cell>
        </row>
        <row r="254">
          <cell r="BD254" t="str">
            <v>RB Firehouse Subs</v>
          </cell>
          <cell r="BE254">
            <v>8.4112149532710276E-2</v>
          </cell>
          <cell r="BF254">
            <v>2.168079166422654E-2</v>
          </cell>
        </row>
        <row r="255">
          <cell r="BD255" t="str">
            <v>RB Canada</v>
          </cell>
          <cell r="BE255">
            <v>4.3973941368078175E-2</v>
          </cell>
          <cell r="BF255">
            <v>-2.7199039030397776E-2</v>
          </cell>
        </row>
        <row r="256">
          <cell r="BD256" t="str">
            <v>RB US</v>
          </cell>
          <cell r="BE256">
            <v>0.20459952418715305</v>
          </cell>
          <cell r="BF256">
            <v>2.6901440385298736E-2</v>
          </cell>
        </row>
        <row r="257">
          <cell r="BD257" t="str">
            <v>RB Others</v>
          </cell>
          <cell r="BE257">
            <v>9.79765708200213E-2</v>
          </cell>
          <cell r="BF257">
            <v>9.6640366105877895E-2</v>
          </cell>
        </row>
        <row r="258">
          <cell r="BD258" t="str">
            <v>RB Sales</v>
          </cell>
          <cell r="BE258">
            <v>0.22227388979307139</v>
          </cell>
          <cell r="BF258">
            <v>2.0179991917072648E-2</v>
          </cell>
        </row>
        <row r="259">
          <cell r="BD259" t="str">
            <v>RB Francise</v>
          </cell>
          <cell r="BE259">
            <v>-1.0033444816053512E-2</v>
          </cell>
          <cell r="BF259">
            <v>6.4469483190536803E-3</v>
          </cell>
        </row>
        <row r="260">
          <cell r="BD260" t="str">
            <v>RB Advertising</v>
          </cell>
          <cell r="BE260">
            <v>9.1479820627802688E-2</v>
          </cell>
          <cell r="BF260">
            <v>1.2116590262473359E-2</v>
          </cell>
        </row>
        <row r="261">
          <cell r="BD261" t="str">
            <v>L Rev</v>
          </cell>
          <cell r="BE261">
            <v>0.42968402962232088</v>
          </cell>
          <cell r="BF261">
            <v>4.6474215807637442E-2</v>
          </cell>
        </row>
        <row r="262">
          <cell r="BD262" t="str">
            <v>L Owned</v>
          </cell>
          <cell r="BE262">
            <v>0.36696004638765911</v>
          </cell>
          <cell r="BF262">
            <v>4.8415584135591994E-2</v>
          </cell>
        </row>
        <row r="263">
          <cell r="BD263" t="str">
            <v>L Partner</v>
          </cell>
          <cell r="BE263">
            <v>0.64614266913922291</v>
          </cell>
          <cell r="BF263">
            <v>3.9866950936842338E-2</v>
          </cell>
        </row>
        <row r="264">
          <cell r="BD264" t="str">
            <v>YUM Brands Rev</v>
          </cell>
          <cell r="BE264">
            <v>8.809113789905948E-2</v>
          </cell>
          <cell r="BF264">
            <v>6.6123320447879719E-2</v>
          </cell>
        </row>
        <row r="265">
          <cell r="BD265" t="str">
            <v>YUM KFC</v>
          </cell>
          <cell r="BE265">
            <v>0.14294933849628913</v>
          </cell>
          <cell r="BF265">
            <v>5.8074418877927414E-2</v>
          </cell>
        </row>
        <row r="266">
          <cell r="BD266" t="str">
            <v>YUM Taco Bell</v>
          </cell>
          <cell r="BE266">
            <v>8.2167832167832161E-2</v>
          </cell>
          <cell r="BF266">
            <v>8.4037200121941602E-2</v>
          </cell>
        </row>
        <row r="267">
          <cell r="BD267" t="str">
            <v>YUM Pizza Hut</v>
          </cell>
          <cell r="BE267">
            <v>4.96031746031746E-3</v>
          </cell>
          <cell r="BF267">
            <v>4.9477505351510187E-2</v>
          </cell>
        </row>
        <row r="268">
          <cell r="BD268" t="str">
            <v>YUM Habit</v>
          </cell>
          <cell r="BE268">
            <v>-3.0927835051546393E-2</v>
          </cell>
          <cell r="BF268">
            <v>4.89764452454724E-2</v>
          </cell>
        </row>
        <row r="269">
          <cell r="BD269" t="str">
            <v>YUM US</v>
          </cell>
          <cell r="BE269">
            <v>4.4311100853911836E-2</v>
          </cell>
          <cell r="BF269">
            <v>7.6383281954417459E-2</v>
          </cell>
        </row>
        <row r="270">
          <cell r="BD270" t="str">
            <v>YUM China</v>
          </cell>
          <cell r="BE270">
            <v>4.8929663608562692E-2</v>
          </cell>
          <cell r="BF270">
            <v>-1.1767983488791933E-2</v>
          </cell>
        </row>
        <row r="271">
          <cell r="BD271" t="str">
            <v>YUM Others</v>
          </cell>
          <cell r="BE271">
            <v>0.15818622360678436</v>
          </cell>
          <cell r="BF271">
            <v>5.9866314534577691E-2</v>
          </cell>
        </row>
        <row r="272">
          <cell r="BD272" t="str">
            <v>YUM Sales</v>
          </cell>
          <cell r="BE272">
            <v>0.15399686520376177</v>
          </cell>
          <cell r="BF272">
            <v>9.3742109514389105E-2</v>
          </cell>
        </row>
        <row r="273">
          <cell r="BD273" t="str">
            <v>YUM Franchise</v>
          </cell>
          <cell r="BE273">
            <v>5.4021244309559936E-2</v>
          </cell>
          <cell r="BF273">
            <v>4.3697135881497928E-2</v>
          </cell>
        </row>
        <row r="274">
          <cell r="BD274" t="str">
            <v>YUM Advertising</v>
          </cell>
          <cell r="BE274">
            <v>5.5229142185663924E-2</v>
          </cell>
          <cell r="BF274">
            <v>6.43382589006809E-2</v>
          </cell>
        </row>
        <row r="275">
          <cell r="BD275" t="str">
            <v>CHEESECAKE Rev</v>
          </cell>
          <cell r="BE275">
            <v>4.7499045842287417E-2</v>
          </cell>
          <cell r="BF275">
            <v>2.1280110498308247E-2</v>
          </cell>
        </row>
        <row r="276">
          <cell r="BD276" t="str">
            <v>DARDEN Rev</v>
          </cell>
          <cell r="BE276">
            <v>8.6137955454223522E-2</v>
          </cell>
          <cell r="BF276">
            <v>2.3867612807679794E-2</v>
          </cell>
        </row>
        <row r="277">
          <cell r="BD277" t="str">
            <v>CHIPOTLE Rev</v>
          </cell>
          <cell r="BE277">
            <v>3.5520149621791397E-2</v>
          </cell>
          <cell r="BF277">
            <v>1.3242218207991874E-2</v>
          </cell>
        </row>
        <row r="278">
          <cell r="BD278" t="str">
            <v>DOUTOR NICHIRES Rev</v>
          </cell>
          <cell r="BE278">
            <v>6.3382871776709218E-2</v>
          </cell>
          <cell r="BF278">
            <v>8.4035953484242754E-3</v>
          </cell>
        </row>
        <row r="279">
          <cell r="BD279" t="str">
            <v>COCA COLA Rev</v>
          </cell>
          <cell r="BE279">
            <v>1.8699135164998618E-2</v>
          </cell>
          <cell r="BF279">
            <v>-5.4048607744261457E-4</v>
          </cell>
        </row>
        <row r="280">
          <cell r="BD280" t="str">
            <v>PEPSI Rev</v>
          </cell>
          <cell r="BE280">
            <v>2.2546650118666578E-2</v>
          </cell>
          <cell r="BF280">
            <v>4.7029500398262147E-2</v>
          </cell>
        </row>
        <row r="281">
          <cell r="BD281" t="str">
            <v>MONSTER Rev</v>
          </cell>
          <cell r="BE281">
            <v>7.621019705636671E-2</v>
          </cell>
          <cell r="BF281">
            <v>2.9421895087762939E-2</v>
          </cell>
        </row>
        <row r="282">
          <cell r="BD282" t="str">
            <v>DUTCH BROS Rev</v>
          </cell>
          <cell r="BE282">
            <v>0.18704887396477882</v>
          </cell>
          <cell r="BF282">
            <v>5.5754586095857261E-2</v>
          </cell>
        </row>
        <row r="283">
          <cell r="BD283" t="str">
            <v>JDE PEETS Rev</v>
          </cell>
          <cell r="BE283">
            <v>0.12266606314360078</v>
          </cell>
          <cell r="BF283">
            <v>1.0538442654527636E-2</v>
          </cell>
        </row>
        <row r="292">
          <cell r="BD292">
            <v>0.5</v>
          </cell>
          <cell r="BE292">
            <v>-9.0170376675160438E-2</v>
          </cell>
          <cell r="BF292">
            <v>1.9734843618119613E-2</v>
          </cell>
        </row>
        <row r="293">
          <cell r="BD293">
            <v>0.5</v>
          </cell>
          <cell r="BE293">
            <v>0.64614266913922291</v>
          </cell>
          <cell r="BF293">
            <v>1.9734843618119613E-2</v>
          </cell>
        </row>
        <row r="295">
          <cell r="BD295">
            <v>0.5</v>
          </cell>
          <cell r="BE295">
            <v>5.3534065620645679E-2</v>
          </cell>
          <cell r="BF295">
            <v>-2.7199039030397776E-2</v>
          </cell>
        </row>
        <row r="296">
          <cell r="BD296">
            <v>0.5</v>
          </cell>
          <cell r="BE296">
            <v>5.3534065620645679E-2</v>
          </cell>
          <cell r="BF296">
            <v>9.6640366105877895E-2</v>
          </cell>
        </row>
        <row r="302">
          <cell r="BD302" t="str">
            <v>Starbucks Rev</v>
          </cell>
          <cell r="BE302">
            <v>4.2961434297775582E-2</v>
          </cell>
          <cell r="BF302">
            <v>1.7887227272861184E-2</v>
          </cell>
        </row>
        <row r="303">
          <cell r="BD303" t="str">
            <v>SB Company-Op</v>
          </cell>
          <cell r="BE303">
            <v>4.5361945771062541E-2</v>
          </cell>
          <cell r="BF303">
            <v>1.9289695319166578E-2</v>
          </cell>
        </row>
        <row r="304">
          <cell r="BD304" t="str">
            <v>SB Licensed</v>
          </cell>
          <cell r="BE304">
            <v>-2.3310180502169132E-2</v>
          </cell>
          <cell r="BF304">
            <v>1.5931178122619016E-4</v>
          </cell>
        </row>
        <row r="305">
          <cell r="BD305" t="str">
            <v>SB Royalty</v>
          </cell>
          <cell r="BE305">
            <v>0.16029411764705886</v>
          </cell>
          <cell r="BF305">
            <v>3.5002220240370141E-2</v>
          </cell>
        </row>
        <row r="306">
          <cell r="BD306" t="str">
            <v>SB North America</v>
          </cell>
          <cell r="BE306">
            <v>2.3041115706311111E-2</v>
          </cell>
          <cell r="BF306">
            <v>1.7003278007729605E-2</v>
          </cell>
        </row>
        <row r="307">
          <cell r="BD307" t="str">
            <v>SB International</v>
          </cell>
          <cell r="BE307">
            <v>8.8227705427830469E-2</v>
          </cell>
          <cell r="BF307">
            <v>1.7514263082706982E-2</v>
          </cell>
        </row>
        <row r="308">
          <cell r="BD308" t="str">
            <v>SB Channel Devt</v>
          </cell>
          <cell r="BE308">
            <v>0.15460075628870507</v>
          </cell>
          <cell r="BF308">
            <v>3.1129470010790472E-2</v>
          </cell>
        </row>
        <row r="309">
          <cell r="BD309" t="str">
            <v>SB Beverage</v>
          </cell>
          <cell r="BE309">
            <v>4.2993688831976684E-2</v>
          </cell>
          <cell r="BF309">
            <v>1.5677006646583003E-2</v>
          </cell>
        </row>
        <row r="310">
          <cell r="BD310" t="str">
            <v>SB Food</v>
          </cell>
          <cell r="BE310">
            <v>5.2812384813859171E-2</v>
          </cell>
          <cell r="BF310">
            <v>2.4766727078986417E-2</v>
          </cell>
        </row>
        <row r="311">
          <cell r="BD311" t="str">
            <v>SB Packaged Drinks</v>
          </cell>
          <cell r="BE311">
            <v>3.3809726962457265E-2</v>
          </cell>
          <cell r="BF311">
            <v>1.8146130604321797E-2</v>
          </cell>
        </row>
        <row r="320">
          <cell r="BD320">
            <v>0.5</v>
          </cell>
          <cell r="BE320">
            <v>-2.3310180502169132E-2</v>
          </cell>
          <cell r="BF320">
            <v>1.801667893859149E-2</v>
          </cell>
        </row>
        <row r="321">
          <cell r="BD321">
            <v>0.5</v>
          </cell>
          <cell r="BE321">
            <v>0.16029411764705886</v>
          </cell>
          <cell r="BF321">
            <v>1.801667893859149E-2</v>
          </cell>
        </row>
        <row r="323">
          <cell r="BD323">
            <v>0.5</v>
          </cell>
          <cell r="BE323">
            <v>4.4177817301519609E-2</v>
          </cell>
          <cell r="BF323">
            <v>1.5931178122619016E-4</v>
          </cell>
        </row>
        <row r="324">
          <cell r="BD324">
            <v>0.5</v>
          </cell>
          <cell r="BE324">
            <v>4.4177817301519609E-2</v>
          </cell>
          <cell r="BF324">
            <v>3.5002220240370141E-2</v>
          </cell>
        </row>
      </sheetData>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3" xr10:uid="{6DF9F2E3-8B7D-4528-ACC3-673901B71F3A}" sourceName="SEGMENT">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5" xr10:uid="{E80A304A-67A2-403C-B267-6493C039DD94}" sourceName="SEGMENT">
  <extLst>
    <x:ext xmlns:x15="http://schemas.microsoft.com/office/spreadsheetml/2010/11/main" uri="{2F2917AC-EB37-4324-AD4E-5DD8C200BD13}">
      <x15:tableSlicerCache tableId="1"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1" xr10:uid="{25637588-8B02-4F71-8A78-677D22B79C24}" sourceName="COMPANY">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DA45B92B-2AD8-46E7-8DC8-67E13F3EAA28}" cache="Slicer_SEGMENT3" caption="SEGMENT" style="SlicerStyleLight6" rowHeight="251883"/>
  <slicer name="SEGMENT 5" xr10:uid="{B6C6A2A7-46BB-455F-B8FC-3F10355D7B01}" cache="Slicer_SEGMENT5" caption="SEGMENT" style="SlicerStyleLight6" rowHeight="251883"/>
  <slicer name="COMPANY 1" xr10:uid="{E2A9DDD5-F786-4CBE-876F-1B9A661DAFA2}" cache="Slicer_COMPANY1" caption="COMPANY" style="SlicerStyleLight6"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1016FB-9F98-4C65-B08D-0ACFAD4FBD6D}" name="Table4" displayName="Table4" ref="BB233:BF283" totalsRowShown="0" headerRowDxfId="16" dataDxfId="15">
  <autoFilter ref="BB233:BF283" xr:uid="{CDE99807-365A-0C43-B236-A74D9257C566}"/>
  <tableColumns count="5">
    <tableColumn id="1" xr3:uid="{E070BA23-37AC-48D3-A354-6BA43D08197E}" name="SEGMENT" dataDxfId="14"/>
    <tableColumn id="2" xr3:uid="{F99B669E-0E28-4081-A8FC-FDE157980C1E}" name="COMPANY" dataDxfId="13"/>
    <tableColumn id="3" xr3:uid="{F6894EEC-423C-442B-BEE0-4A1301C8E00E}" name="CATEGORY" dataDxfId="12"/>
    <tableColumn id="4" xr3:uid="{FD03E537-49F2-4694-91F9-F660CB9B3104}" name="TTM CH" dataDxfId="11"/>
    <tableColumn id="5" xr3:uid="{1E797986-00F7-45D5-9DA0-C3EB947675DE}" name="CAGR 5Q"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D4E93-9421-40EC-A129-4560DB1741ED}" name="Table7" displayName="Table7" ref="BB301:BF311" totalsRowShown="0" headerRowDxfId="9" dataDxfId="8" headerRowBorderDxfId="6" tableBorderDxfId="7" totalsRowBorderDxfId="5">
  <autoFilter ref="BB301:BF311" xr:uid="{DF208E93-AAD7-774B-83D0-9608949EC318}"/>
  <tableColumns count="5">
    <tableColumn id="1" xr3:uid="{D459DE1A-CA93-4341-A239-DA16FD9A24A1}" name="SEGMENT" dataDxfId="4"/>
    <tableColumn id="2" xr3:uid="{368D7CAB-42CD-4A67-8412-E71305011108}" name="COMPANY" dataDxfId="3"/>
    <tableColumn id="3" xr3:uid="{78DD4606-38BA-4057-8674-51DA4DA3C924}" name="CATEGORY" dataDxfId="2"/>
    <tableColumn id="4" xr3:uid="{904EE5EB-6C9A-4A57-9DAE-E120B428BFF4}" name="TTM CH" dataDxfId="1">
      <calculatedColumnFormula>BE234</calculatedColumnFormula>
    </tableColumn>
    <tableColumn id="5" xr3:uid="{692E63F0-B4A4-4A21-8B77-B4E85395F0D7}" name="CAGR 5Q" dataDxfId="0">
      <calculatedColumnFormula>BF234</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325D7-BA0A-4765-91F0-2208EB0387FC}">
  <sheetPr>
    <tabColor theme="9" tint="0.59999389629810485"/>
  </sheetPr>
  <dimension ref="A1:BY363"/>
  <sheetViews>
    <sheetView tabSelected="1" zoomScale="80" zoomScaleNormal="80" workbookViewId="0">
      <pane xSplit="2" ySplit="1" topLeftCell="BA231" activePane="bottomRight" state="frozen"/>
      <selection pane="topRight" activeCell="C1" sqref="C1"/>
      <selection pane="bottomLeft" activeCell="A2" sqref="A2"/>
      <selection pane="bottomRight" activeCell="BH267" sqref="BH267"/>
    </sheetView>
  </sheetViews>
  <sheetFormatPr defaultColWidth="11.19921875" defaultRowHeight="15.6" x14ac:dyDescent="0.3"/>
  <cols>
    <col min="1" max="1" width="17" bestFit="1" customWidth="1"/>
    <col min="2" max="2" width="25.796875" bestFit="1" customWidth="1"/>
    <col min="3" max="3" width="11.19921875" bestFit="1" customWidth="1"/>
    <col min="7" max="8" width="10.69921875" customWidth="1"/>
    <col min="9" max="9" width="12.19921875" customWidth="1"/>
    <col min="15" max="15" width="19" customWidth="1"/>
    <col min="16" max="17" width="11.69921875" bestFit="1" customWidth="1"/>
    <col min="18" max="18" width="11.796875" bestFit="1" customWidth="1"/>
    <col min="19" max="19" width="13.296875" bestFit="1" customWidth="1"/>
    <col min="20" max="20" width="12.5" bestFit="1" customWidth="1"/>
    <col min="21" max="21" width="13.19921875" bestFit="1" customWidth="1"/>
    <col min="22" max="23" width="11.796875" bestFit="1" customWidth="1"/>
    <col min="24" max="25" width="11.69921875" bestFit="1" customWidth="1"/>
    <col min="26" max="26" width="11.5" bestFit="1" customWidth="1"/>
    <col min="27" max="28" width="11.69921875" bestFit="1" customWidth="1"/>
    <col min="30" max="30" width="11.5" bestFit="1" customWidth="1"/>
    <col min="31" max="31" width="11.796875" bestFit="1" customWidth="1"/>
    <col min="32" max="32" width="11.5" bestFit="1" customWidth="1"/>
    <col min="33" max="33" width="12.296875" customWidth="1"/>
    <col min="34" max="34" width="11.796875" bestFit="1" customWidth="1"/>
    <col min="35" max="37" width="11.796875" style="2" customWidth="1"/>
    <col min="38" max="39" width="11.69921875" style="5" customWidth="1"/>
    <col min="40" max="44" width="12.796875" style="2" customWidth="1"/>
    <col min="45" max="45" width="13.796875" style="2" customWidth="1"/>
    <col min="46" max="47" width="11.796875" style="2" bestFit="1" customWidth="1"/>
    <col min="48" max="48" width="13" style="2" customWidth="1"/>
    <col min="49" max="49" width="8" style="2" bestFit="1" customWidth="1"/>
    <col min="50" max="50" width="6.796875" style="2" customWidth="1"/>
    <col min="51" max="51" width="6.5" style="2" customWidth="1"/>
    <col min="52" max="52" width="8.69921875" style="2" customWidth="1"/>
    <col min="53" max="53" width="15.296875" style="2" customWidth="1"/>
    <col min="54" max="54" width="14.69921875" style="2" customWidth="1"/>
    <col min="55" max="55" width="16.69921875" style="2" customWidth="1"/>
    <col min="56" max="56" width="17.296875" style="2" customWidth="1"/>
  </cols>
  <sheetData>
    <row r="1" spans="1:68" s="2" customFormat="1" x14ac:dyDescent="0.3">
      <c r="A1" s="1" t="s">
        <v>0</v>
      </c>
      <c r="P1" s="3" t="s">
        <v>1</v>
      </c>
      <c r="Q1" s="3" t="s">
        <v>2</v>
      </c>
      <c r="R1" s="3" t="s">
        <v>3</v>
      </c>
      <c r="S1" s="3" t="s">
        <v>4</v>
      </c>
      <c r="T1" s="3" t="s">
        <v>1</v>
      </c>
      <c r="U1" s="3" t="s">
        <v>2</v>
      </c>
      <c r="V1" s="3" t="s">
        <v>3</v>
      </c>
      <c r="W1" s="3" t="s">
        <v>4</v>
      </c>
      <c r="X1" s="3" t="s">
        <v>1</v>
      </c>
      <c r="Y1" s="3" t="s">
        <v>2</v>
      </c>
      <c r="Z1" s="3" t="s">
        <v>3</v>
      </c>
      <c r="AA1" s="3" t="s">
        <v>4</v>
      </c>
      <c r="AB1" s="3" t="s">
        <v>1</v>
      </c>
      <c r="AC1" s="3" t="s">
        <v>2</v>
      </c>
      <c r="AD1" s="3" t="s">
        <v>3</v>
      </c>
      <c r="AE1" s="3" t="s">
        <v>4</v>
      </c>
      <c r="AF1" s="3" t="s">
        <v>1</v>
      </c>
      <c r="AG1" s="3" t="s">
        <v>2</v>
      </c>
      <c r="AH1" s="3" t="s">
        <v>3</v>
      </c>
      <c r="AI1" s="3" t="s">
        <v>4</v>
      </c>
      <c r="AJ1" s="3" t="s">
        <v>1</v>
      </c>
      <c r="AK1" s="3" t="s">
        <v>2</v>
      </c>
      <c r="AL1" s="3" t="s">
        <v>3</v>
      </c>
      <c r="AM1" s="3" t="s">
        <v>4</v>
      </c>
      <c r="AN1" s="3" t="s">
        <v>1</v>
      </c>
      <c r="AO1" s="3" t="s">
        <v>2</v>
      </c>
      <c r="AP1" s="3" t="s">
        <v>3</v>
      </c>
      <c r="AQ1" s="3" t="s">
        <v>4</v>
      </c>
      <c r="AR1" s="3" t="s">
        <v>1</v>
      </c>
      <c r="AS1" s="3" t="s">
        <v>2</v>
      </c>
      <c r="BB1" s="4"/>
    </row>
    <row r="2" spans="1:68" x14ac:dyDescent="0.3">
      <c r="AL2" s="2"/>
      <c r="AM2" s="2"/>
      <c r="AN2" s="5"/>
      <c r="AO2" s="5"/>
      <c r="AP2" s="5"/>
      <c r="AQ2" s="5"/>
      <c r="AR2" s="5"/>
      <c r="BE2" s="2"/>
    </row>
    <row r="3" spans="1:68" s="7" customFormat="1" ht="18" customHeight="1" x14ac:dyDescent="0.3">
      <c r="A3" s="6" t="s">
        <v>5</v>
      </c>
      <c r="C3" s="8">
        <v>2018</v>
      </c>
      <c r="D3" s="8">
        <v>2019</v>
      </c>
      <c r="E3" s="8">
        <v>2020</v>
      </c>
      <c r="F3" s="9">
        <v>2021</v>
      </c>
      <c r="G3" s="10">
        <v>2022</v>
      </c>
      <c r="H3" s="11">
        <v>2023</v>
      </c>
      <c r="I3" s="12">
        <v>2024</v>
      </c>
      <c r="J3" s="13">
        <v>2025</v>
      </c>
      <c r="K3" s="14" t="s">
        <v>6</v>
      </c>
      <c r="L3" s="15"/>
      <c r="M3" s="15"/>
      <c r="N3" s="6" t="s">
        <v>5</v>
      </c>
      <c r="P3" s="16" t="s">
        <v>7</v>
      </c>
      <c r="Q3" s="16" t="s">
        <v>8</v>
      </c>
      <c r="R3" s="17" t="s">
        <v>9</v>
      </c>
      <c r="S3" s="16" t="s">
        <v>10</v>
      </c>
      <c r="T3" s="16" t="s">
        <v>11</v>
      </c>
      <c r="U3" s="16" t="s">
        <v>12</v>
      </c>
      <c r="V3" s="17" t="s">
        <v>13</v>
      </c>
      <c r="W3" s="16" t="s">
        <v>14</v>
      </c>
      <c r="X3" s="16" t="s">
        <v>15</v>
      </c>
      <c r="Y3" s="16" t="s">
        <v>16</v>
      </c>
      <c r="Z3" s="17" t="s">
        <v>17</v>
      </c>
      <c r="AA3" s="16" t="s">
        <v>18</v>
      </c>
      <c r="AB3" s="16" t="s">
        <v>19</v>
      </c>
      <c r="AC3" s="16" t="s">
        <v>20</v>
      </c>
      <c r="AD3" s="17" t="s">
        <v>21</v>
      </c>
      <c r="AE3" s="16" t="s">
        <v>22</v>
      </c>
      <c r="AF3" s="16" t="s">
        <v>23</v>
      </c>
      <c r="AG3" s="16" t="s">
        <v>24</v>
      </c>
      <c r="AH3" s="17" t="s">
        <v>25</v>
      </c>
      <c r="AI3" s="16" t="s">
        <v>26</v>
      </c>
      <c r="AJ3" s="18" t="s">
        <v>27</v>
      </c>
      <c r="AK3" s="16" t="s">
        <v>28</v>
      </c>
      <c r="AL3" s="17" t="s">
        <v>29</v>
      </c>
      <c r="AM3" s="16" t="s">
        <v>30</v>
      </c>
      <c r="AN3" s="18" t="s">
        <v>31</v>
      </c>
      <c r="AO3" s="16" t="s">
        <v>32</v>
      </c>
      <c r="AP3" s="17" t="s">
        <v>33</v>
      </c>
      <c r="AQ3" s="16" t="s">
        <v>34</v>
      </c>
      <c r="AR3" s="18" t="s">
        <v>35</v>
      </c>
      <c r="AS3" s="16" t="s">
        <v>36</v>
      </c>
      <c r="AT3" s="17" t="s">
        <v>37</v>
      </c>
      <c r="AU3" s="16" t="s">
        <v>38</v>
      </c>
      <c r="AV3" s="17"/>
      <c r="AW3" s="16"/>
      <c r="AX3" s="19"/>
      <c r="AY3" s="8"/>
      <c r="AZ3" s="8"/>
      <c r="BA3" s="19"/>
      <c r="BC3" s="20" t="s">
        <v>39</v>
      </c>
      <c r="BD3" s="20" t="s">
        <v>40</v>
      </c>
      <c r="BE3" s="20" t="s">
        <v>41</v>
      </c>
      <c r="BF3" s="20" t="s">
        <v>42</v>
      </c>
      <c r="BL3" s="21"/>
      <c r="BN3" s="22"/>
      <c r="BP3" s="23"/>
    </row>
    <row r="4" spans="1:68" s="7" customFormat="1" ht="18" customHeight="1" x14ac:dyDescent="0.3">
      <c r="A4" s="24" t="s">
        <v>43</v>
      </c>
      <c r="B4" s="7" t="s">
        <v>44</v>
      </c>
      <c r="C4" s="25">
        <v>24719.5</v>
      </c>
      <c r="D4" s="25">
        <v>26508.6</v>
      </c>
      <c r="E4" s="25">
        <v>23518</v>
      </c>
      <c r="F4" s="26">
        <v>29060.600000000002</v>
      </c>
      <c r="G4" s="27">
        <v>32250.3</v>
      </c>
      <c r="H4" s="27">
        <v>35975.599999999999</v>
      </c>
      <c r="I4" s="27">
        <v>36176.199999999997</v>
      </c>
      <c r="J4" s="27">
        <v>37184.400000000001</v>
      </c>
      <c r="K4" s="28">
        <v>37701.699999999997</v>
      </c>
      <c r="L4" s="26"/>
      <c r="M4" s="26"/>
      <c r="N4" s="24" t="s">
        <v>43</v>
      </c>
      <c r="O4" s="7" t="s">
        <v>44</v>
      </c>
      <c r="P4" s="29">
        <v>6031.8</v>
      </c>
      <c r="Q4" s="29">
        <v>6310.3</v>
      </c>
      <c r="R4" s="29">
        <v>6303.6</v>
      </c>
      <c r="S4" s="30">
        <v>6632.7</v>
      </c>
      <c r="T4" s="30">
        <v>6305.9</v>
      </c>
      <c r="U4" s="30">
        <v>6823</v>
      </c>
      <c r="V4" s="30">
        <v>6747</v>
      </c>
      <c r="W4" s="30">
        <v>7097.1</v>
      </c>
      <c r="X4" s="30">
        <v>5995.7</v>
      </c>
      <c r="Y4" s="30">
        <v>4222.1000000000004</v>
      </c>
      <c r="Z4" s="30">
        <v>6203.1</v>
      </c>
      <c r="AA4" s="30">
        <v>6749.4</v>
      </c>
      <c r="AB4" s="30">
        <v>6668</v>
      </c>
      <c r="AC4" s="30">
        <v>7496.5</v>
      </c>
      <c r="AD4" s="30">
        <v>8146.7</v>
      </c>
      <c r="AE4" s="30">
        <v>8050.4</v>
      </c>
      <c r="AF4" s="30">
        <v>7636</v>
      </c>
      <c r="AG4" s="30">
        <v>8150.1</v>
      </c>
      <c r="AH4" s="30">
        <v>8414.2000000000007</v>
      </c>
      <c r="AI4" s="30">
        <v>8713.9</v>
      </c>
      <c r="AJ4" s="31">
        <v>8719.7999999999993</v>
      </c>
      <c r="AK4" s="30">
        <v>9168.2999999999993</v>
      </c>
      <c r="AL4" s="30">
        <v>9373.6</v>
      </c>
      <c r="AM4" s="30">
        <v>9425.2999999999993</v>
      </c>
      <c r="AN4" s="31">
        <v>8563</v>
      </c>
      <c r="AO4" s="30">
        <v>9113.9</v>
      </c>
      <c r="AP4" s="30">
        <v>9074</v>
      </c>
      <c r="AQ4" s="30">
        <v>9397.7999999999993</v>
      </c>
      <c r="AR4" s="31">
        <v>8761.6</v>
      </c>
      <c r="AS4" s="30">
        <v>9456</v>
      </c>
      <c r="AT4" s="30">
        <v>9569</v>
      </c>
      <c r="AU4" s="30">
        <v>9915.1</v>
      </c>
      <c r="AV4" s="30"/>
      <c r="AW4" s="7" t="s">
        <v>44</v>
      </c>
      <c r="AX4" s="32" t="s">
        <v>43</v>
      </c>
      <c r="AY4" s="33"/>
      <c r="AZ4" s="33"/>
      <c r="BB4" s="7" t="s">
        <v>45</v>
      </c>
      <c r="BC4" s="34">
        <f>SUM(AN4:AQ4)</f>
        <v>36148.699999999997</v>
      </c>
      <c r="BD4" s="34">
        <f>SUM(AR4:AU4)</f>
        <v>37701.699999999997</v>
      </c>
      <c r="BE4" s="35">
        <f>(BD4-BC4)/ABS(BC4)</f>
        <v>4.2961434297775582E-2</v>
      </c>
      <c r="BF4" s="35">
        <f>(AU4/AP4)^(1/5)-1</f>
        <v>1.7887227272861184E-2</v>
      </c>
      <c r="BL4" s="21"/>
      <c r="BN4" s="22"/>
      <c r="BP4" s="23"/>
    </row>
    <row r="5" spans="1:68" s="7" customFormat="1" ht="18" customHeight="1" x14ac:dyDescent="0.3">
      <c r="A5" s="24" t="s">
        <v>43</v>
      </c>
      <c r="B5" s="7" t="s">
        <v>46</v>
      </c>
      <c r="C5" s="29">
        <v>7351.5793000000003</v>
      </c>
      <c r="D5" s="29">
        <v>7488.6794999999993</v>
      </c>
      <c r="E5" s="29">
        <v>5056.37</v>
      </c>
      <c r="F5" s="26">
        <v>8391.0999999999985</v>
      </c>
      <c r="G5" s="27">
        <v>8371</v>
      </c>
      <c r="H5" s="27">
        <v>9716.8999999999978</v>
      </c>
      <c r="I5" s="27">
        <v>9709.2999999999993</v>
      </c>
      <c r="J5" s="27">
        <v>8322.2000000000007</v>
      </c>
      <c r="K5" s="28">
        <v>8110.3</v>
      </c>
      <c r="L5" s="26"/>
      <c r="M5" s="26"/>
      <c r="N5" s="24" t="s">
        <v>43</v>
      </c>
      <c r="O5" s="7" t="s">
        <v>46</v>
      </c>
      <c r="P5" s="29">
        <v>3517.1000000000004</v>
      </c>
      <c r="Q5" s="29">
        <v>3756.9</v>
      </c>
      <c r="R5" s="29">
        <v>3699</v>
      </c>
      <c r="S5" s="30">
        <v>1880</v>
      </c>
      <c r="T5" s="36">
        <v>1752.5</v>
      </c>
      <c r="U5" s="36">
        <v>1995.9</v>
      </c>
      <c r="V5" s="36">
        <v>1858.8</v>
      </c>
      <c r="W5" s="36">
        <v>2039.2</v>
      </c>
      <c r="X5" s="36">
        <v>1276.5999999999999</v>
      </c>
      <c r="Y5" s="36">
        <v>200.3</v>
      </c>
      <c r="Z5" s="36">
        <v>1543.1</v>
      </c>
      <c r="AA5" s="36">
        <v>1833</v>
      </c>
      <c r="AB5" s="36">
        <v>1852.3</v>
      </c>
      <c r="AC5" s="36">
        <v>2323.6</v>
      </c>
      <c r="AD5" s="36">
        <v>2382.1999999999998</v>
      </c>
      <c r="AE5" s="36">
        <v>2123.5</v>
      </c>
      <c r="AF5" s="36">
        <v>1855</v>
      </c>
      <c r="AG5" s="36">
        <v>2234</v>
      </c>
      <c r="AH5" s="36">
        <v>2158.5</v>
      </c>
      <c r="AI5" s="36">
        <v>2109.1</v>
      </c>
      <c r="AJ5" s="37">
        <v>2282.0999999999995</v>
      </c>
      <c r="AK5" s="29">
        <v>2606.4999999999995</v>
      </c>
      <c r="AL5" s="36">
        <v>2719.2</v>
      </c>
      <c r="AM5" s="36">
        <v>2593.1999999999989</v>
      </c>
      <c r="AN5" s="37">
        <v>2190.1999999999998</v>
      </c>
      <c r="AO5" s="29">
        <v>2543.9</v>
      </c>
      <c r="AP5" s="36">
        <v>2382</v>
      </c>
      <c r="AQ5" s="36">
        <v>2301.1</v>
      </c>
      <c r="AR5" s="37">
        <v>1848</v>
      </c>
      <c r="AS5" s="29">
        <v>2155.6999999999998</v>
      </c>
      <c r="AT5" s="36">
        <v>2017.4</v>
      </c>
      <c r="AU5" s="36">
        <v>2089.1999999999998</v>
      </c>
      <c r="AV5" s="36"/>
      <c r="AW5" s="7" t="s">
        <v>46</v>
      </c>
      <c r="AX5" s="32" t="s">
        <v>43</v>
      </c>
      <c r="AY5" s="33"/>
      <c r="AZ5" s="33"/>
      <c r="BB5" s="33"/>
      <c r="BC5" s="33"/>
      <c r="BD5" s="30"/>
      <c r="BL5" s="21"/>
      <c r="BN5" s="22"/>
      <c r="BP5" s="23"/>
    </row>
    <row r="6" spans="1:68" s="7" customFormat="1" ht="18" customHeight="1" x14ac:dyDescent="0.3">
      <c r="A6" s="24" t="s">
        <v>43</v>
      </c>
      <c r="B6" s="7" t="s">
        <v>47</v>
      </c>
      <c r="C6" s="36">
        <v>3807</v>
      </c>
      <c r="D6" s="36">
        <v>3915</v>
      </c>
      <c r="E6" s="36">
        <v>1518</v>
      </c>
      <c r="F6" s="26">
        <v>5736.5</v>
      </c>
      <c r="G6" s="27">
        <v>4617.8</v>
      </c>
      <c r="H6" s="27">
        <v>5699.3</v>
      </c>
      <c r="I6" s="27">
        <v>5163.3999999999996</v>
      </c>
      <c r="J6" s="27">
        <v>3435.4000000000005</v>
      </c>
      <c r="K6" s="38">
        <v>3278.5</v>
      </c>
      <c r="L6" s="26"/>
      <c r="M6" s="26"/>
      <c r="N6" s="24" t="s">
        <v>43</v>
      </c>
      <c r="O6" s="7" t="s">
        <v>47</v>
      </c>
      <c r="P6" s="29">
        <v>772.5</v>
      </c>
      <c r="Q6" s="29">
        <v>1038.2</v>
      </c>
      <c r="R6" s="29">
        <v>956.6</v>
      </c>
      <c r="S6" s="30">
        <v>1015.7</v>
      </c>
      <c r="T6" s="30">
        <v>878.7</v>
      </c>
      <c r="U6" s="30">
        <v>1723.1</v>
      </c>
      <c r="V6" s="30">
        <v>1083.3</v>
      </c>
      <c r="W6" s="30">
        <v>1219.8</v>
      </c>
      <c r="X6" s="30">
        <v>487.4</v>
      </c>
      <c r="Y6" s="30">
        <v>-703.9</v>
      </c>
      <c r="Z6" s="30">
        <v>558.29999999999995</v>
      </c>
      <c r="AA6" s="30">
        <v>913.5</v>
      </c>
      <c r="AB6" s="30">
        <v>987.6</v>
      </c>
      <c r="AC6" s="30">
        <v>1488.7</v>
      </c>
      <c r="AD6" s="30">
        <v>2346.6999999999998</v>
      </c>
      <c r="AE6" s="30">
        <v>1177.8</v>
      </c>
      <c r="AF6" s="30">
        <v>904</v>
      </c>
      <c r="AG6" s="30">
        <v>1295.5</v>
      </c>
      <c r="AH6" s="30">
        <v>1140</v>
      </c>
      <c r="AI6" s="30">
        <v>1201.0999999999999</v>
      </c>
      <c r="AJ6" s="31">
        <v>1327.5</v>
      </c>
      <c r="AK6" s="30">
        <v>1583.9</v>
      </c>
      <c r="AL6" s="30">
        <v>1586.8</v>
      </c>
      <c r="AM6" s="30">
        <v>1485.4</v>
      </c>
      <c r="AN6" s="31">
        <v>1030.9000000000001</v>
      </c>
      <c r="AO6" s="30">
        <v>1443.6</v>
      </c>
      <c r="AP6" s="30">
        <v>1203.5</v>
      </c>
      <c r="AQ6" s="30">
        <v>1075.2</v>
      </c>
      <c r="AR6" s="31">
        <v>658.1</v>
      </c>
      <c r="AS6" s="30">
        <v>899.3</v>
      </c>
      <c r="AT6" s="30">
        <v>802.8</v>
      </c>
      <c r="AU6" s="30">
        <v>918.3</v>
      </c>
      <c r="AV6" s="30"/>
      <c r="AW6" s="7" t="s">
        <v>47</v>
      </c>
      <c r="AX6" s="32" t="s">
        <v>43</v>
      </c>
      <c r="AY6" s="33"/>
      <c r="AZ6" s="33"/>
      <c r="BB6" s="33"/>
      <c r="BC6" s="33"/>
      <c r="BD6" s="30"/>
      <c r="BL6" s="21"/>
      <c r="BN6" s="22"/>
      <c r="BP6" s="23"/>
    </row>
    <row r="7" spans="1:68" s="7" customFormat="1" ht="18" customHeight="1" x14ac:dyDescent="0.3">
      <c r="A7" s="24" t="s">
        <v>43</v>
      </c>
      <c r="B7" s="7" t="s">
        <v>48</v>
      </c>
      <c r="C7" s="25">
        <v>4518.3</v>
      </c>
      <c r="D7" s="25">
        <v>3599.2</v>
      </c>
      <c r="E7" s="25">
        <v>928</v>
      </c>
      <c r="F7" s="26">
        <v>4199.3999999999996</v>
      </c>
      <c r="G7" s="27">
        <v>3281.6</v>
      </c>
      <c r="H7" s="27">
        <v>4124.7</v>
      </c>
      <c r="I7" s="27">
        <v>3760.9000000000005</v>
      </c>
      <c r="J7" s="27">
        <v>1856.3999999999999</v>
      </c>
      <c r="K7" s="38">
        <v>1368.8999999999999</v>
      </c>
      <c r="L7" s="26"/>
      <c r="M7" s="26"/>
      <c r="N7" s="24" t="s">
        <v>43</v>
      </c>
      <c r="O7" s="7" t="s">
        <v>48</v>
      </c>
      <c r="P7" s="29">
        <v>660.1</v>
      </c>
      <c r="Q7" s="29">
        <v>852.5</v>
      </c>
      <c r="R7" s="29">
        <v>755.8</v>
      </c>
      <c r="S7" s="30">
        <v>760.6</v>
      </c>
      <c r="T7" s="30">
        <v>663.2</v>
      </c>
      <c r="U7" s="30">
        <v>1372.8</v>
      </c>
      <c r="V7" s="30">
        <v>802.8</v>
      </c>
      <c r="W7" s="30">
        <v>885.7</v>
      </c>
      <c r="X7" s="30">
        <v>328.4</v>
      </c>
      <c r="Y7" s="30">
        <v>-678.4</v>
      </c>
      <c r="Z7" s="30">
        <v>392.6</v>
      </c>
      <c r="AA7" s="30">
        <v>622.20000000000005</v>
      </c>
      <c r="AB7" s="30">
        <v>659.4</v>
      </c>
      <c r="AC7" s="30">
        <v>1153.4000000000001</v>
      </c>
      <c r="AD7" s="30">
        <v>1764.4</v>
      </c>
      <c r="AE7" s="30">
        <v>815.9</v>
      </c>
      <c r="AF7" s="30">
        <v>675</v>
      </c>
      <c r="AG7" s="30">
        <v>913.7</v>
      </c>
      <c r="AH7" s="30">
        <v>878.3</v>
      </c>
      <c r="AI7" s="30">
        <v>855.2</v>
      </c>
      <c r="AJ7" s="31">
        <v>908.3</v>
      </c>
      <c r="AK7" s="30">
        <v>1141.9000000000001</v>
      </c>
      <c r="AL7" s="30">
        <v>1219.3</v>
      </c>
      <c r="AM7" s="30">
        <v>1024.4000000000001</v>
      </c>
      <c r="AN7" s="31">
        <v>772.4</v>
      </c>
      <c r="AO7" s="30">
        <v>1054.8</v>
      </c>
      <c r="AP7" s="30">
        <v>909.3</v>
      </c>
      <c r="AQ7" s="30">
        <v>780.8</v>
      </c>
      <c r="AR7" s="31">
        <v>384.2</v>
      </c>
      <c r="AS7" s="30">
        <v>558.29999999999995</v>
      </c>
      <c r="AT7" s="30">
        <v>133.1</v>
      </c>
      <c r="AU7" s="30">
        <v>293.3</v>
      </c>
      <c r="AV7" s="30"/>
      <c r="AW7" s="7" t="s">
        <v>48</v>
      </c>
      <c r="AX7" s="32" t="s">
        <v>43</v>
      </c>
      <c r="AY7" s="33"/>
      <c r="AZ7" s="33"/>
      <c r="BB7" s="33"/>
      <c r="BC7" s="33"/>
      <c r="BD7" s="30"/>
      <c r="BL7" s="21"/>
      <c r="BN7" s="22"/>
      <c r="BP7" s="23"/>
    </row>
    <row r="8" spans="1:68" s="7" customFormat="1" ht="18" customHeight="1" x14ac:dyDescent="0.3">
      <c r="A8" s="24" t="s">
        <v>43</v>
      </c>
      <c r="B8" s="39" t="s">
        <v>49</v>
      </c>
      <c r="C8" s="29">
        <v>11937</v>
      </c>
      <c r="D8" s="29">
        <v>5047</v>
      </c>
      <c r="E8" s="29">
        <v>1597</v>
      </c>
      <c r="F8" s="26">
        <v>5959</v>
      </c>
      <c r="G8" s="40">
        <v>4397.3</v>
      </c>
      <c r="H8" s="40">
        <v>6008.7</v>
      </c>
      <c r="I8" s="40">
        <v>6095.6</v>
      </c>
      <c r="J8" s="40">
        <v>3365.7</v>
      </c>
      <c r="K8" s="28">
        <v>1597.7</v>
      </c>
      <c r="L8" s="40"/>
      <c r="M8" s="40"/>
      <c r="N8" s="24" t="s">
        <v>50</v>
      </c>
      <c r="O8" s="7" t="s">
        <v>51</v>
      </c>
      <c r="P8" s="35">
        <f t="shared" ref="P8:R8" si="0">P7/P4</f>
        <v>0.10943665240889949</v>
      </c>
      <c r="Q8" s="35">
        <f t="shared" si="0"/>
        <v>0.13509658811783909</v>
      </c>
      <c r="R8" s="35">
        <f t="shared" si="0"/>
        <v>0.11989973983120755</v>
      </c>
      <c r="S8" s="35">
        <f>S7/S4</f>
        <v>0.11467426538212191</v>
      </c>
      <c r="T8" s="35">
        <f>T7/T4</f>
        <v>0.10517134746824404</v>
      </c>
      <c r="U8" s="35">
        <f>U7/U4</f>
        <v>0.2012018173823831</v>
      </c>
      <c r="V8" s="35">
        <f>V7/V4</f>
        <v>0.11898621609604268</v>
      </c>
      <c r="W8" s="35">
        <f>W7/W4</f>
        <v>0.12479745248059067</v>
      </c>
      <c r="X8" s="35">
        <f t="shared" ref="X8:AI8" si="1">X7/X4</f>
        <v>5.4772587020698163E-2</v>
      </c>
      <c r="Y8" s="35">
        <f t="shared" si="1"/>
        <v>-0.16067833542549914</v>
      </c>
      <c r="Z8" s="35">
        <f t="shared" si="1"/>
        <v>6.3290935177572505E-2</v>
      </c>
      <c r="AA8" s="35">
        <f t="shared" si="1"/>
        <v>9.2185972086407691E-2</v>
      </c>
      <c r="AB8" s="35">
        <f t="shared" si="1"/>
        <v>9.889022195560887E-2</v>
      </c>
      <c r="AC8" s="35">
        <f t="shared" si="1"/>
        <v>0.15385846728473287</v>
      </c>
      <c r="AD8" s="35">
        <f t="shared" si="1"/>
        <v>0.21657849190469763</v>
      </c>
      <c r="AE8" s="35">
        <f t="shared" si="1"/>
        <v>0.10134900129186128</v>
      </c>
      <c r="AF8" s="35">
        <f t="shared" si="1"/>
        <v>8.8397066526977472E-2</v>
      </c>
      <c r="AG8" s="35">
        <f t="shared" si="1"/>
        <v>0.11210905387663955</v>
      </c>
      <c r="AH8" s="35">
        <f t="shared" si="1"/>
        <v>0.10438306672054383</v>
      </c>
      <c r="AI8" s="35">
        <f t="shared" si="1"/>
        <v>9.8142048910361615E-2</v>
      </c>
      <c r="AJ8" s="41">
        <v>8.8400000000000006E-2</v>
      </c>
      <c r="AK8" s="35">
        <f t="shared" ref="AK8:AL8" si="2">AK7/AK4</f>
        <v>0.12454871677410209</v>
      </c>
      <c r="AL8" s="35">
        <f t="shared" si="2"/>
        <v>0.13007809166168813</v>
      </c>
      <c r="AM8" s="35">
        <f>AM7/AM4</f>
        <v>0.10868619566485949</v>
      </c>
      <c r="AN8" s="41">
        <v>8.8400000000000006E-2</v>
      </c>
      <c r="AO8" s="35">
        <f t="shared" ref="AO8:AP8" si="3">AO7/AO4</f>
        <v>0.11573530541261151</v>
      </c>
      <c r="AP8" s="35">
        <f t="shared" si="3"/>
        <v>0.10020938946440379</v>
      </c>
      <c r="AQ8" s="35">
        <f>AQ7/AQ4</f>
        <v>8.3083274808997853E-2</v>
      </c>
      <c r="AR8" s="41">
        <v>8.8400000000000006E-2</v>
      </c>
      <c r="AS8" s="35">
        <f t="shared" ref="AS8:AT8" si="4">AS7/AS4</f>
        <v>5.9041878172588831E-2</v>
      </c>
      <c r="AT8" s="35">
        <f t="shared" si="4"/>
        <v>1.3909499425227297E-2</v>
      </c>
      <c r="AU8" s="35">
        <f>AU7/AU4</f>
        <v>2.9581143911811277E-2</v>
      </c>
      <c r="AV8" s="35"/>
      <c r="AW8" s="7" t="s">
        <v>51</v>
      </c>
      <c r="AX8" s="32" t="s">
        <v>50</v>
      </c>
      <c r="AY8" s="42"/>
      <c r="AZ8" s="42"/>
      <c r="BB8" s="42"/>
      <c r="BC8" s="42"/>
      <c r="BD8" s="42"/>
      <c r="BL8" s="21"/>
      <c r="BN8" s="22"/>
      <c r="BP8" s="23"/>
    </row>
    <row r="9" spans="1:68" s="7" customFormat="1" ht="18" customHeight="1" x14ac:dyDescent="0.3">
      <c r="A9" s="24" t="s">
        <v>43</v>
      </c>
      <c r="B9" s="39" t="s">
        <v>52</v>
      </c>
      <c r="C9" s="29">
        <v>9961</v>
      </c>
      <c r="D9" s="29">
        <v>3240</v>
      </c>
      <c r="E9" s="29">
        <v>114</v>
      </c>
      <c r="F9" s="26">
        <v>4628</v>
      </c>
      <c r="G9" s="40">
        <v>2556</v>
      </c>
      <c r="H9" s="40">
        <v>3675.1</v>
      </c>
      <c r="I9" s="40">
        <v>3318.1000000000004</v>
      </c>
      <c r="J9" s="40">
        <v>1516.1999999999994</v>
      </c>
      <c r="K9" s="28">
        <v>1274</v>
      </c>
      <c r="L9" s="40"/>
      <c r="M9" s="40"/>
      <c r="N9" s="24" t="s">
        <v>50</v>
      </c>
      <c r="O9" s="7" t="s">
        <v>53</v>
      </c>
      <c r="P9" s="35">
        <f t="shared" ref="P9:R9" si="5">P5/P4</f>
        <v>0.58309294074737228</v>
      </c>
      <c r="Q9" s="35">
        <f t="shared" si="5"/>
        <v>0.59535996703801719</v>
      </c>
      <c r="R9" s="35">
        <f t="shared" si="5"/>
        <v>0.58680753854940026</v>
      </c>
      <c r="S9" s="35">
        <f>S5/S4</f>
        <v>0.2834441479337223</v>
      </c>
      <c r="T9" s="35">
        <f>T5/T4</f>
        <v>0.27791433419496031</v>
      </c>
      <c r="U9" s="35">
        <f>U5/U4</f>
        <v>0.29252528213395868</v>
      </c>
      <c r="V9" s="35">
        <f>V5/V4</f>
        <v>0.27550022232103155</v>
      </c>
      <c r="W9" s="35">
        <f>W5/W4</f>
        <v>0.28732862718575192</v>
      </c>
      <c r="X9" s="35">
        <f t="shared" ref="X9:AI9" si="6">X5/X4</f>
        <v>0.21291925880214152</v>
      </c>
      <c r="Y9" s="35">
        <f t="shared" si="6"/>
        <v>4.7440846971886025E-2</v>
      </c>
      <c r="Z9" s="35">
        <f t="shared" si="6"/>
        <v>0.24876271541648529</v>
      </c>
      <c r="AA9" s="35">
        <f t="shared" si="6"/>
        <v>0.27157969597297538</v>
      </c>
      <c r="AB9" s="35">
        <f t="shared" si="6"/>
        <v>0.27778944211157769</v>
      </c>
      <c r="AC9" s="35">
        <f t="shared" si="6"/>
        <v>0.30995798039084904</v>
      </c>
      <c r="AD9" s="35">
        <f t="shared" si="6"/>
        <v>0.29241287883437461</v>
      </c>
      <c r="AE9" s="35">
        <f t="shared" si="6"/>
        <v>0.26377571300804931</v>
      </c>
      <c r="AF9" s="35">
        <f t="shared" si="6"/>
        <v>0.2429282346778418</v>
      </c>
      <c r="AG9" s="35">
        <f t="shared" si="6"/>
        <v>0.2741070661709672</v>
      </c>
      <c r="AH9" s="35">
        <f t="shared" si="6"/>
        <v>0.2565306267975565</v>
      </c>
      <c r="AI9" s="35">
        <f t="shared" si="6"/>
        <v>0.2420385820355983</v>
      </c>
      <c r="AJ9" s="41">
        <v>0.2429</v>
      </c>
      <c r="AK9" s="35">
        <f t="shared" ref="AK9:AL9" si="7">AK5/AK4</f>
        <v>0.28429479838137928</v>
      </c>
      <c r="AL9" s="35">
        <f t="shared" si="7"/>
        <v>0.290091320303832</v>
      </c>
      <c r="AM9" s="35">
        <f>AM5/AM4</f>
        <v>0.27513182604267228</v>
      </c>
      <c r="AN9" s="41">
        <v>0.2429</v>
      </c>
      <c r="AO9" s="35">
        <f t="shared" ref="AO9:AP9" si="8">AO5/AO4</f>
        <v>0.27912309768595223</v>
      </c>
      <c r="AP9" s="35">
        <f t="shared" si="8"/>
        <v>0.2625082653735949</v>
      </c>
      <c r="AQ9" s="35">
        <f>AQ5/AQ4</f>
        <v>0.24485517887165081</v>
      </c>
      <c r="AR9" s="41">
        <v>0.2429</v>
      </c>
      <c r="AS9" s="35">
        <f t="shared" ref="AS9:AT9" si="9">AS5/AS4</f>
        <v>0.22797165820642976</v>
      </c>
      <c r="AT9" s="35">
        <f t="shared" si="9"/>
        <v>0.21082662765179225</v>
      </c>
      <c r="AU9" s="35">
        <f>AU5/AU4</f>
        <v>0.21070891871993219</v>
      </c>
      <c r="AV9" s="35"/>
      <c r="AW9" s="7" t="s">
        <v>53</v>
      </c>
      <c r="AX9" s="32" t="s">
        <v>50</v>
      </c>
      <c r="AY9" s="42"/>
      <c r="AZ9" s="42"/>
      <c r="BB9" s="42"/>
      <c r="BC9" s="42"/>
      <c r="BD9" s="42"/>
      <c r="BL9" s="21"/>
      <c r="BN9" s="22"/>
      <c r="BP9" s="23"/>
    </row>
    <row r="10" spans="1:68" s="7" customFormat="1" ht="18" customHeight="1" x14ac:dyDescent="0.3">
      <c r="A10" s="24" t="s">
        <v>50</v>
      </c>
      <c r="B10" s="7" t="s">
        <v>54</v>
      </c>
      <c r="C10" s="43">
        <v>10.42</v>
      </c>
      <c r="D10" s="43">
        <v>7.24</v>
      </c>
      <c r="E10" s="22">
        <v>-11.281621813298321</v>
      </c>
      <c r="F10" s="44">
        <v>15.303172038438642</v>
      </c>
      <c r="G10" s="45">
        <v>10.976029400631772</v>
      </c>
      <c r="H10" s="45">
        <v>11.551210376337583</v>
      </c>
      <c r="I10" s="45">
        <v>0.5576001512135963</v>
      </c>
      <c r="J10" s="45">
        <v>2.7869151541621409</v>
      </c>
      <c r="K10" s="46">
        <v>4.216860809040198</v>
      </c>
      <c r="L10" s="44"/>
      <c r="M10" s="44"/>
      <c r="N10" s="24"/>
      <c r="S10" s="35"/>
      <c r="T10" s="35"/>
      <c r="U10" s="35"/>
      <c r="V10" s="35"/>
      <c r="W10" s="35"/>
      <c r="AW10" s="32"/>
      <c r="BL10" s="21"/>
      <c r="BN10" s="22"/>
      <c r="BP10" s="23"/>
    </row>
    <row r="11" spans="1:68" s="7" customFormat="1" ht="18" customHeight="1" x14ac:dyDescent="0.3">
      <c r="A11" s="24" t="s">
        <v>50</v>
      </c>
      <c r="B11" s="7" t="s">
        <v>55</v>
      </c>
      <c r="C11" s="43">
        <v>-2.3199999999999998</v>
      </c>
      <c r="D11" s="43">
        <v>2.87</v>
      </c>
      <c r="E11" s="22">
        <v>-61.226053639846747</v>
      </c>
      <c r="F11" s="44">
        <v>160.0856389986825</v>
      </c>
      <c r="G11" s="45">
        <v>-19.501438159156276</v>
      </c>
      <c r="H11" s="45">
        <v>23.420243405950885</v>
      </c>
      <c r="I11" s="45">
        <v>-9.4029091291913147</v>
      </c>
      <c r="J11" s="45">
        <v>-33.466320641437797</v>
      </c>
      <c r="K11" s="46">
        <v>-73.789290635868497</v>
      </c>
      <c r="L11" s="44"/>
      <c r="M11" s="44"/>
      <c r="N11" s="24"/>
      <c r="S11" s="35"/>
      <c r="T11" s="35"/>
      <c r="U11" s="35"/>
      <c r="V11" s="35"/>
      <c r="W11" s="35"/>
      <c r="AW11" s="32"/>
      <c r="BL11" s="21"/>
      <c r="BN11" s="22"/>
      <c r="BP11" s="23"/>
    </row>
    <row r="12" spans="1:68" s="7" customFormat="1" ht="18" customHeight="1" x14ac:dyDescent="0.3">
      <c r="A12" s="24" t="s">
        <v>50</v>
      </c>
      <c r="B12" s="7" t="s">
        <v>56</v>
      </c>
      <c r="C12" s="43">
        <v>56.63</v>
      </c>
      <c r="D12" s="43">
        <v>-20.34</v>
      </c>
      <c r="E12" s="22">
        <v>-74.216492553900864</v>
      </c>
      <c r="F12" s="44">
        <v>204.69827586206901</v>
      </c>
      <c r="G12" s="45">
        <v>-21.85550316711911</v>
      </c>
      <c r="H12" s="45">
        <v>25.691735738664061</v>
      </c>
      <c r="I12" s="45">
        <v>-8.8200353965136689</v>
      </c>
      <c r="J12" s="45">
        <v>-50.639474593847233</v>
      </c>
      <c r="K12" s="46">
        <v>-61.604532714505289</v>
      </c>
      <c r="L12" s="44"/>
      <c r="M12" s="44"/>
      <c r="AK12" s="47"/>
      <c r="AL12" s="36"/>
      <c r="AM12" s="36"/>
      <c r="AN12" s="36"/>
      <c r="AO12" s="36"/>
      <c r="AP12" s="36"/>
      <c r="AQ12" s="36"/>
      <c r="AR12" s="36"/>
      <c r="AS12" s="36"/>
      <c r="AT12" s="36"/>
      <c r="AU12" s="36"/>
      <c r="AV12" s="36"/>
      <c r="AW12" s="32"/>
      <c r="BL12" s="21"/>
      <c r="BN12" s="22"/>
      <c r="BP12" s="23"/>
    </row>
    <row r="13" spans="1:68" s="7" customFormat="1" ht="18" customHeight="1" x14ac:dyDescent="0.3">
      <c r="A13" s="24" t="s">
        <v>57</v>
      </c>
      <c r="B13" s="7" t="s">
        <v>58</v>
      </c>
      <c r="C13" s="43">
        <v>18.278282327716987</v>
      </c>
      <c r="D13" s="43">
        <v>13.57748051575715</v>
      </c>
      <c r="E13" s="22">
        <v>3.945913768177566</v>
      </c>
      <c r="F13" s="44">
        <v>10.427407161559172</v>
      </c>
      <c r="G13" s="45">
        <v>10.175409220999494</v>
      </c>
      <c r="H13" s="45">
        <v>11.465270905836178</v>
      </c>
      <c r="I13" s="45">
        <v>10.39606149899658</v>
      </c>
      <c r="J13" s="45">
        <v>4.9924161745248004</v>
      </c>
      <c r="K13" s="46">
        <v>3.3791579690040505</v>
      </c>
      <c r="L13" s="44"/>
      <c r="M13" s="44"/>
      <c r="AL13" s="36"/>
      <c r="AM13" s="36"/>
      <c r="AN13" s="36"/>
      <c r="AO13" s="36"/>
      <c r="AP13" s="36"/>
      <c r="AQ13" s="36"/>
      <c r="AR13" s="36"/>
      <c r="AS13" s="36"/>
      <c r="AT13" s="36"/>
      <c r="AU13" s="36"/>
      <c r="AV13" s="36"/>
      <c r="AW13" s="32"/>
      <c r="BL13" s="21"/>
      <c r="BN13" s="22"/>
      <c r="BP13" s="23"/>
    </row>
    <row r="14" spans="1:68" s="7" customFormat="1" ht="18" customHeight="1" x14ac:dyDescent="0.3">
      <c r="A14" s="24" t="s">
        <v>57</v>
      </c>
      <c r="B14" s="7" t="s">
        <v>59</v>
      </c>
      <c r="C14" s="43">
        <v>29.74</v>
      </c>
      <c r="D14" s="43">
        <v>28.25</v>
      </c>
      <c r="E14" s="43">
        <v>21.5</v>
      </c>
      <c r="F14" s="44">
        <v>27.849688387358484</v>
      </c>
      <c r="G14" s="45">
        <v>25.956347692889679</v>
      </c>
      <c r="H14" s="45">
        <v>27.009695460256388</v>
      </c>
      <c r="I14" s="45">
        <v>26.838916193519495</v>
      </c>
      <c r="J14" s="45">
        <v>22.38089091124235</v>
      </c>
      <c r="K14" s="46">
        <v>21.511762069084419</v>
      </c>
      <c r="L14" s="44"/>
      <c r="M14" s="44"/>
      <c r="AL14" s="47"/>
      <c r="AM14" s="47"/>
      <c r="AN14" s="47"/>
      <c r="AO14" s="47"/>
      <c r="AP14" s="47"/>
      <c r="AQ14" s="47"/>
      <c r="AR14" s="47"/>
      <c r="AS14" s="47"/>
      <c r="AT14" s="47"/>
      <c r="AU14" s="47"/>
      <c r="AV14" s="47"/>
      <c r="AW14" s="32"/>
      <c r="BL14" s="21"/>
      <c r="BN14" s="22"/>
      <c r="BP14" s="23"/>
    </row>
    <row r="15" spans="1:68" s="7" customFormat="1" ht="18" customHeight="1" x14ac:dyDescent="0.3">
      <c r="A15" s="24" t="s">
        <v>60</v>
      </c>
      <c r="B15" s="7" t="s">
        <v>61</v>
      </c>
      <c r="C15" s="43">
        <v>31.62</v>
      </c>
      <c r="D15" s="43">
        <v>33.72</v>
      </c>
      <c r="E15" s="43">
        <v>26.69</v>
      </c>
      <c r="F15" s="44">
        <v>30.26</v>
      </c>
      <c r="G15" s="45">
        <v>33.29</v>
      </c>
      <c r="H15" s="45">
        <v>30.52</v>
      </c>
      <c r="I15" s="45">
        <v>28.58</v>
      </c>
      <c r="J15" s="45">
        <v>29.06</v>
      </c>
      <c r="K15" s="48">
        <v>28.85</v>
      </c>
      <c r="AW15" s="32"/>
      <c r="BL15" s="21"/>
      <c r="BN15" s="22"/>
      <c r="BP15" s="23"/>
    </row>
    <row r="16" spans="1:68" s="7" customFormat="1" ht="18" customHeight="1" x14ac:dyDescent="0.3">
      <c r="A16" s="24" t="s">
        <v>60</v>
      </c>
      <c r="B16" s="7" t="s">
        <v>62</v>
      </c>
      <c r="C16" s="49">
        <v>1.28</v>
      </c>
      <c r="D16" s="49">
        <v>1.22</v>
      </c>
      <c r="E16" s="49">
        <v>0.97</v>
      </c>
      <c r="F16" s="44">
        <v>0.93</v>
      </c>
      <c r="G16" s="45">
        <v>1.0900000000000001</v>
      </c>
      <c r="H16" s="45">
        <v>1.25</v>
      </c>
      <c r="I16" s="45">
        <v>1.19</v>
      </c>
      <c r="J16" s="45">
        <v>1.1499999999999999</v>
      </c>
      <c r="K16" s="48">
        <v>1.18</v>
      </c>
      <c r="AW16" s="32"/>
      <c r="BP16" s="23"/>
    </row>
    <row r="17" spans="1:77" s="7" customFormat="1" ht="18" customHeight="1" x14ac:dyDescent="0.3">
      <c r="A17" s="24" t="s">
        <v>63</v>
      </c>
      <c r="B17" s="7" t="s">
        <v>64</v>
      </c>
      <c r="C17" s="49">
        <v>7.77</v>
      </c>
      <c r="D17" s="49">
        <v>1.0000000000000001E-5</v>
      </c>
      <c r="E17" s="49">
        <v>1.0000000000000001E-5</v>
      </c>
      <c r="F17" s="44">
        <v>1.0000000000000001E-5</v>
      </c>
      <c r="G17" s="45">
        <v>9.9999999999999995E-7</v>
      </c>
      <c r="H17" s="45">
        <v>9.9999999999999995E-7</v>
      </c>
      <c r="I17" s="45">
        <v>-1.9242999999999999</v>
      </c>
      <c r="J17" s="45">
        <v>-1.8019000000000001</v>
      </c>
      <c r="K17" s="48">
        <v>-1.7418</v>
      </c>
      <c r="AW17" s="32"/>
      <c r="BK17"/>
      <c r="BL17"/>
      <c r="BM17"/>
      <c r="BN17"/>
      <c r="BO17"/>
      <c r="BP17" s="23"/>
    </row>
    <row r="18" spans="1:77" s="7" customFormat="1" ht="18" customHeight="1" x14ac:dyDescent="0.3">
      <c r="A18" s="24" t="s">
        <v>65</v>
      </c>
      <c r="B18" s="7" t="s">
        <v>66</v>
      </c>
      <c r="C18" s="49">
        <v>2.2000000000000002</v>
      </c>
      <c r="D18" s="49">
        <v>0.92</v>
      </c>
      <c r="E18" s="49">
        <v>1.06</v>
      </c>
      <c r="F18" s="44">
        <v>1.02</v>
      </c>
      <c r="G18" s="45">
        <v>0.77</v>
      </c>
      <c r="H18" s="45">
        <v>0.78</v>
      </c>
      <c r="I18" s="45">
        <v>0.75</v>
      </c>
      <c r="J18" s="45">
        <v>0.72</v>
      </c>
      <c r="K18" s="48">
        <v>1.05</v>
      </c>
      <c r="AW18" s="32"/>
      <c r="BK18"/>
      <c r="BL18"/>
      <c r="BM18"/>
      <c r="BN18"/>
      <c r="BO18"/>
      <c r="BP18" s="23"/>
    </row>
    <row r="19" spans="1:77" s="2" customFormat="1" ht="18" customHeight="1" x14ac:dyDescent="0.3">
      <c r="A19" s="24"/>
      <c r="B19" s="7" t="s">
        <v>67</v>
      </c>
      <c r="C19" s="50">
        <v>291000</v>
      </c>
      <c r="D19" s="29">
        <v>346000</v>
      </c>
      <c r="E19" s="29">
        <v>349000</v>
      </c>
      <c r="F19" s="26">
        <v>383000</v>
      </c>
      <c r="G19" s="26">
        <v>383000</v>
      </c>
      <c r="H19" s="26">
        <v>402000</v>
      </c>
      <c r="I19" s="26">
        <v>402000</v>
      </c>
      <c r="J19" s="26">
        <v>361000</v>
      </c>
      <c r="K19" s="26">
        <v>361000</v>
      </c>
      <c r="L19" s="7"/>
      <c r="M19" s="7"/>
      <c r="AW19" s="5"/>
      <c r="BK19"/>
      <c r="BL19"/>
      <c r="BM19"/>
      <c r="BN19"/>
      <c r="BO19"/>
      <c r="BP19" s="7"/>
      <c r="BQ19" s="7"/>
      <c r="BR19" s="39"/>
      <c r="BS19" s="39"/>
      <c r="BT19" s="39"/>
      <c r="BU19" s="39"/>
      <c r="BV19" s="39"/>
      <c r="BW19" s="39"/>
      <c r="BX19" s="39"/>
      <c r="BY19" s="39"/>
    </row>
    <row r="20" spans="1:77" ht="18" customHeight="1" x14ac:dyDescent="0.3">
      <c r="AI20"/>
      <c r="AJ20"/>
      <c r="AK20"/>
      <c r="AL20"/>
      <c r="AM20"/>
      <c r="AN20"/>
      <c r="AO20"/>
      <c r="AP20"/>
      <c r="AQ20"/>
      <c r="AR20"/>
      <c r="AS20"/>
      <c r="AT20"/>
      <c r="AU20"/>
      <c r="AV20"/>
      <c r="AW20" s="51"/>
      <c r="AX20"/>
      <c r="AY20"/>
      <c r="AZ20"/>
      <c r="BE20" s="2"/>
      <c r="BF20" s="2"/>
    </row>
    <row r="21" spans="1:77" ht="18" customHeight="1" x14ac:dyDescent="0.3">
      <c r="A21" s="7"/>
      <c r="B21" s="7"/>
      <c r="C21" s="7"/>
      <c r="D21" s="7"/>
      <c r="E21" s="7"/>
      <c r="F21" s="7"/>
      <c r="G21" s="7"/>
      <c r="H21" s="7"/>
      <c r="I21" s="7"/>
      <c r="AI21"/>
      <c r="AJ21"/>
      <c r="AK21"/>
      <c r="AL21"/>
      <c r="AM21"/>
      <c r="AN21"/>
      <c r="AO21"/>
      <c r="AP21"/>
      <c r="AQ21"/>
      <c r="AR21"/>
      <c r="AS21"/>
      <c r="AT21"/>
      <c r="AU21"/>
      <c r="AV21"/>
      <c r="AW21" s="51"/>
      <c r="AX21"/>
      <c r="AY21"/>
      <c r="AZ21"/>
      <c r="BE21" s="2"/>
      <c r="BF21" s="2"/>
    </row>
    <row r="22" spans="1:77" ht="18" customHeight="1" x14ac:dyDescent="0.3">
      <c r="A22" s="16" t="s">
        <v>68</v>
      </c>
      <c r="B22" s="8" t="s">
        <v>69</v>
      </c>
      <c r="C22" s="8">
        <v>2018</v>
      </c>
      <c r="D22" s="8">
        <v>2019</v>
      </c>
      <c r="E22" s="8">
        <v>2020</v>
      </c>
      <c r="F22" s="9">
        <v>2021</v>
      </c>
      <c r="G22" s="10">
        <v>2022</v>
      </c>
      <c r="H22" s="11">
        <v>2023</v>
      </c>
      <c r="I22" s="12">
        <v>2024</v>
      </c>
      <c r="J22" s="13">
        <v>2025</v>
      </c>
      <c r="K22" s="14" t="s">
        <v>6</v>
      </c>
      <c r="L22" s="8"/>
      <c r="M22" s="8"/>
      <c r="N22" s="16" t="s">
        <v>68</v>
      </c>
      <c r="O22" s="8" t="s">
        <v>69</v>
      </c>
      <c r="P22" s="16" t="s">
        <v>7</v>
      </c>
      <c r="Q22" s="16" t="s">
        <v>8</v>
      </c>
      <c r="R22" s="17" t="s">
        <v>9</v>
      </c>
      <c r="S22" s="16" t="s">
        <v>10</v>
      </c>
      <c r="T22" s="16" t="s">
        <v>11</v>
      </c>
      <c r="U22" s="16" t="s">
        <v>12</v>
      </c>
      <c r="V22" s="17" t="s">
        <v>13</v>
      </c>
      <c r="W22" s="16" t="s">
        <v>14</v>
      </c>
      <c r="X22" s="16" t="s">
        <v>15</v>
      </c>
      <c r="Y22" s="16" t="s">
        <v>16</v>
      </c>
      <c r="Z22" s="17" t="s">
        <v>17</v>
      </c>
      <c r="AA22" s="16" t="s">
        <v>18</v>
      </c>
      <c r="AB22" s="16" t="s">
        <v>19</v>
      </c>
      <c r="AC22" s="16" t="s">
        <v>20</v>
      </c>
      <c r="AD22" s="17" t="s">
        <v>21</v>
      </c>
      <c r="AE22" s="16" t="s">
        <v>22</v>
      </c>
      <c r="AF22" s="16" t="s">
        <v>23</v>
      </c>
      <c r="AG22" s="16" t="s">
        <v>24</v>
      </c>
      <c r="AH22" s="17" t="s">
        <v>70</v>
      </c>
      <c r="AI22" s="16" t="s">
        <v>26</v>
      </c>
      <c r="AJ22" s="16" t="s">
        <v>27</v>
      </c>
      <c r="AK22" s="16" t="s">
        <v>28</v>
      </c>
      <c r="AL22" s="17" t="s">
        <v>29</v>
      </c>
      <c r="AM22" s="16" t="s">
        <v>30</v>
      </c>
      <c r="AN22" s="18" t="s">
        <v>31</v>
      </c>
      <c r="AO22" s="16" t="s">
        <v>32</v>
      </c>
      <c r="AP22" s="17" t="s">
        <v>33</v>
      </c>
      <c r="AQ22" s="16" t="s">
        <v>34</v>
      </c>
      <c r="AR22" s="18" t="s">
        <v>35</v>
      </c>
      <c r="AS22" s="16" t="s">
        <v>36</v>
      </c>
      <c r="AT22" s="17" t="s">
        <v>37</v>
      </c>
      <c r="AU22" s="16" t="s">
        <v>38</v>
      </c>
      <c r="AV22" s="17"/>
      <c r="AW22" s="6" t="s">
        <v>69</v>
      </c>
      <c r="AX22" s="19"/>
      <c r="AY22" s="8"/>
      <c r="AZ22" s="8"/>
      <c r="BB22" s="6" t="s">
        <v>69</v>
      </c>
      <c r="BC22" s="20" t="s">
        <v>39</v>
      </c>
      <c r="BD22" s="20" t="s">
        <v>40</v>
      </c>
      <c r="BE22" s="20" t="s">
        <v>41</v>
      </c>
      <c r="BF22" s="20" t="s">
        <v>42</v>
      </c>
      <c r="BG22" s="7"/>
      <c r="BH22" s="7"/>
      <c r="BI22" s="7"/>
      <c r="BJ22" s="7"/>
    </row>
    <row r="23" spans="1:77" ht="18" customHeight="1" x14ac:dyDescent="0.3">
      <c r="A23" s="24" t="s">
        <v>43</v>
      </c>
      <c r="B23" s="7" t="s">
        <v>71</v>
      </c>
      <c r="C23" s="34">
        <v>19690.3</v>
      </c>
      <c r="D23" s="34">
        <v>21544.400000000001</v>
      </c>
      <c r="E23" s="34">
        <v>19164.599999999999</v>
      </c>
      <c r="F23" s="34">
        <v>24607</v>
      </c>
      <c r="G23" s="34">
        <v>26576</v>
      </c>
      <c r="H23" s="34">
        <v>29462.400000000001</v>
      </c>
      <c r="I23" s="34">
        <v>29765.8</v>
      </c>
      <c r="J23" s="34">
        <v>30744.799999999999</v>
      </c>
      <c r="K23" s="34">
        <v>31147.5</v>
      </c>
      <c r="L23" s="7"/>
      <c r="M23" s="7"/>
      <c r="N23" s="24" t="s">
        <v>43</v>
      </c>
      <c r="O23" s="7" t="s">
        <v>71</v>
      </c>
      <c r="P23" s="29">
        <v>4828</v>
      </c>
      <c r="Q23" s="29">
        <v>5060.3999999999996</v>
      </c>
      <c r="R23" s="29">
        <v>5060.1000000000004</v>
      </c>
      <c r="S23" s="29">
        <v>5370.3</v>
      </c>
      <c r="T23" s="29">
        <v>5159</v>
      </c>
      <c r="U23" s="29">
        <v>5535</v>
      </c>
      <c r="V23" s="29">
        <v>5480.1000000000022</v>
      </c>
      <c r="W23" s="29">
        <v>5780.7</v>
      </c>
      <c r="X23" s="29">
        <v>4766</v>
      </c>
      <c r="Y23" s="29">
        <v>3444.4</v>
      </c>
      <c r="Z23" s="29">
        <v>5173.4999999999982</v>
      </c>
      <c r="AA23" s="29">
        <v>5726.5</v>
      </c>
      <c r="AB23" s="29">
        <v>5653.1</v>
      </c>
      <c r="AC23" s="29">
        <v>6363.1</v>
      </c>
      <c r="AD23" s="29">
        <v>6864.2999999999993</v>
      </c>
      <c r="AE23" s="29">
        <v>6722.4</v>
      </c>
      <c r="AF23" s="29">
        <v>6276.7</v>
      </c>
      <c r="AG23" s="29">
        <v>6675.5</v>
      </c>
      <c r="AH23" s="29">
        <v>6901.4</v>
      </c>
      <c r="AI23" s="29">
        <v>7083.5</v>
      </c>
      <c r="AJ23" s="29">
        <v>7142.3</v>
      </c>
      <c r="AK23" s="29">
        <v>7556.7</v>
      </c>
      <c r="AL23" s="29">
        <v>7679.9</v>
      </c>
      <c r="AM23" s="29">
        <v>7755.2</v>
      </c>
      <c r="AN23" s="29">
        <v>7052.6</v>
      </c>
      <c r="AO23" s="29">
        <v>7516</v>
      </c>
      <c r="AP23" s="29">
        <v>7442</v>
      </c>
      <c r="AQ23" s="29">
        <v>7785.3</v>
      </c>
      <c r="AR23" s="29">
        <v>7285</v>
      </c>
      <c r="AS23" s="29">
        <v>7812.5</v>
      </c>
      <c r="AT23" s="29">
        <v>7862</v>
      </c>
      <c r="AU23" s="29">
        <v>8188</v>
      </c>
      <c r="AV23" s="29"/>
      <c r="AW23" s="32" t="s">
        <v>71</v>
      </c>
      <c r="AX23" s="33"/>
      <c r="AY23" s="33"/>
      <c r="AZ23" s="33"/>
      <c r="BB23" s="32" t="s">
        <v>72</v>
      </c>
      <c r="BC23" s="34">
        <f>SUM(AN23:AQ23)</f>
        <v>29795.899999999998</v>
      </c>
      <c r="BD23" s="34">
        <f>SUM(AR23:AU23)</f>
        <v>31147.5</v>
      </c>
      <c r="BE23" s="35">
        <f>(BD23-BC23)/ABS(BC23)</f>
        <v>4.5361945771062541E-2</v>
      </c>
      <c r="BF23" s="35">
        <f>(AU23/AP23)^(1/5)-1</f>
        <v>1.9289695319166578E-2</v>
      </c>
      <c r="BG23" s="7"/>
      <c r="BH23" s="7"/>
      <c r="BI23" s="7"/>
      <c r="BJ23" s="7"/>
    </row>
    <row r="24" spans="1:77" ht="18" customHeight="1" x14ac:dyDescent="0.3">
      <c r="A24" s="24" t="s">
        <v>43</v>
      </c>
      <c r="B24" s="7" t="s">
        <v>73</v>
      </c>
      <c r="C24" s="34">
        <v>2652.2</v>
      </c>
      <c r="D24" s="34">
        <v>2875</v>
      </c>
      <c r="E24" s="34">
        <v>2327.1</v>
      </c>
      <c r="F24" s="34">
        <v>2683.6</v>
      </c>
      <c r="G24" s="34">
        <v>3655.5</v>
      </c>
      <c r="H24" s="34">
        <v>4512.7</v>
      </c>
      <c r="I24" s="34">
        <v>4505.1000000000004</v>
      </c>
      <c r="J24" s="34">
        <v>4350.2999999999993</v>
      </c>
      <c r="K24" s="34">
        <v>4345</v>
      </c>
      <c r="L24" s="7"/>
      <c r="M24" s="7"/>
      <c r="N24" s="24" t="s">
        <v>43</v>
      </c>
      <c r="O24" s="7" t="s">
        <v>73</v>
      </c>
      <c r="P24" s="29">
        <v>625.6</v>
      </c>
      <c r="Q24" s="29">
        <v>660.6</v>
      </c>
      <c r="R24" s="29">
        <v>683.59999999999991</v>
      </c>
      <c r="S24" s="29">
        <v>737.1</v>
      </c>
      <c r="T24" s="29">
        <v>678.2</v>
      </c>
      <c r="U24" s="29">
        <v>725</v>
      </c>
      <c r="V24" s="29">
        <v>734.69999999999982</v>
      </c>
      <c r="W24" s="29">
        <v>792</v>
      </c>
      <c r="X24" s="29">
        <v>689.8</v>
      </c>
      <c r="Y24" s="29">
        <v>300.5</v>
      </c>
      <c r="Z24" s="29">
        <v>544.79999999999995</v>
      </c>
      <c r="AA24" s="29">
        <v>613.79999999999995</v>
      </c>
      <c r="AB24" s="29">
        <v>595</v>
      </c>
      <c r="AC24" s="29">
        <v>680.2</v>
      </c>
      <c r="AD24" s="29">
        <v>794.59999999999991</v>
      </c>
      <c r="AE24" s="29">
        <v>850.8</v>
      </c>
      <c r="AF24" s="29">
        <v>849.5</v>
      </c>
      <c r="AG24" s="29">
        <v>956.8</v>
      </c>
      <c r="AH24" s="29">
        <v>998.4</v>
      </c>
      <c r="AI24" s="29">
        <v>1119.5</v>
      </c>
      <c r="AJ24" s="29">
        <v>1069.5</v>
      </c>
      <c r="AK24" s="29">
        <v>1136.2</v>
      </c>
      <c r="AL24" s="29">
        <v>1187.5</v>
      </c>
      <c r="AM24" s="29">
        <v>1192.0999999999999</v>
      </c>
      <c r="AN24" s="29">
        <v>1054.5</v>
      </c>
      <c r="AO24" s="29">
        <v>1129</v>
      </c>
      <c r="AP24" s="29">
        <v>1129.5</v>
      </c>
      <c r="AQ24" s="29">
        <v>1135.7</v>
      </c>
      <c r="AR24" s="29">
        <v>1016</v>
      </c>
      <c r="AS24" s="29">
        <v>1105.5999999999999</v>
      </c>
      <c r="AT24" s="29">
        <v>1093</v>
      </c>
      <c r="AU24" s="29">
        <v>1130.4000000000001</v>
      </c>
      <c r="AV24" s="29"/>
      <c r="AW24" s="32" t="s">
        <v>73</v>
      </c>
      <c r="AX24" s="33"/>
      <c r="AY24" s="33"/>
      <c r="AZ24" s="33"/>
      <c r="BB24" s="32" t="s">
        <v>74</v>
      </c>
      <c r="BC24" s="34">
        <f t="shared" ref="BC24:BC25" si="10">SUM(AN24:AQ24)</f>
        <v>4448.7</v>
      </c>
      <c r="BD24" s="34">
        <f t="shared" ref="BD24:BD25" si="11">SUM(AR24:AU24)</f>
        <v>4345</v>
      </c>
      <c r="BE24" s="35">
        <f t="shared" ref="BE24:BE25" si="12">(BD24-BC24)/ABS(BC24)</f>
        <v>-2.3310180502169132E-2</v>
      </c>
      <c r="BF24" s="35">
        <f t="shared" ref="BF24:BF25" si="13">(AU24/AP24)^(1/5)-1</f>
        <v>1.5931178122619016E-4</v>
      </c>
      <c r="BG24" s="7"/>
      <c r="BH24" s="7"/>
      <c r="BI24" s="7"/>
      <c r="BJ24" s="7"/>
    </row>
    <row r="25" spans="1:77" ht="18" customHeight="1" x14ac:dyDescent="0.3">
      <c r="A25" s="24" t="s">
        <v>43</v>
      </c>
      <c r="B25" s="7" t="s">
        <v>75</v>
      </c>
      <c r="C25" s="34">
        <v>2377</v>
      </c>
      <c r="D25" s="34">
        <v>2089.1999999999998</v>
      </c>
      <c r="E25" s="34">
        <v>2026.3</v>
      </c>
      <c r="F25" s="34">
        <v>1770</v>
      </c>
      <c r="G25" s="34">
        <v>2018.7999999999997</v>
      </c>
      <c r="H25" s="34">
        <v>2000.5</v>
      </c>
      <c r="I25" s="34">
        <v>1905.1999999999998</v>
      </c>
      <c r="J25" s="34">
        <v>2089.3000000000002</v>
      </c>
      <c r="K25" s="52">
        <v>2209.1999999999998</v>
      </c>
      <c r="L25" s="16"/>
      <c r="M25" s="16"/>
      <c r="N25" s="24" t="s">
        <v>43</v>
      </c>
      <c r="O25" s="7" t="s">
        <v>75</v>
      </c>
      <c r="P25" s="29">
        <v>578.20000000000005</v>
      </c>
      <c r="Q25" s="29">
        <v>589.29999999999995</v>
      </c>
      <c r="R25" s="29">
        <v>560</v>
      </c>
      <c r="S25" s="29">
        <v>525.29999999999995</v>
      </c>
      <c r="T25" s="29">
        <v>468.7</v>
      </c>
      <c r="U25" s="29">
        <v>563</v>
      </c>
      <c r="V25" s="29">
        <v>532.19999999999982</v>
      </c>
      <c r="W25" s="29">
        <v>524.4</v>
      </c>
      <c r="X25" s="29">
        <v>539.9</v>
      </c>
      <c r="Y25" s="29">
        <v>477.2</v>
      </c>
      <c r="Z25" s="29">
        <v>484.79999999999995</v>
      </c>
      <c r="AA25" s="29">
        <v>409.1</v>
      </c>
      <c r="AB25" s="29">
        <v>419.9</v>
      </c>
      <c r="AC25" s="29">
        <v>453.2</v>
      </c>
      <c r="AD25" s="29">
        <v>487.79999999999995</v>
      </c>
      <c r="AE25" s="29">
        <v>477.2</v>
      </c>
      <c r="AF25" s="29">
        <v>509.4</v>
      </c>
      <c r="AG25" s="29">
        <v>517.79999999999995</v>
      </c>
      <c r="AH25" s="29">
        <v>514.4</v>
      </c>
      <c r="AI25" s="29">
        <v>510.9</v>
      </c>
      <c r="AJ25" s="29">
        <v>508</v>
      </c>
      <c r="AK25" s="29">
        <v>475.4</v>
      </c>
      <c r="AL25" s="29">
        <v>506.2</v>
      </c>
      <c r="AM25" s="29">
        <v>478</v>
      </c>
      <c r="AN25" s="29">
        <v>455.9</v>
      </c>
      <c r="AO25" s="29">
        <v>468.9</v>
      </c>
      <c r="AP25" s="29">
        <v>502.4</v>
      </c>
      <c r="AQ25" s="29">
        <v>476.8</v>
      </c>
      <c r="AR25" s="29">
        <v>460.6</v>
      </c>
      <c r="AS25" s="29">
        <v>537.9</v>
      </c>
      <c r="AT25" s="29">
        <v>614</v>
      </c>
      <c r="AU25" s="29">
        <v>596.70000000000005</v>
      </c>
      <c r="AV25" s="29"/>
      <c r="AW25" s="32" t="s">
        <v>75</v>
      </c>
      <c r="AX25" s="33"/>
      <c r="AY25" s="33"/>
      <c r="AZ25" s="33"/>
      <c r="BB25" s="32" t="s">
        <v>76</v>
      </c>
      <c r="BC25" s="34">
        <f t="shared" si="10"/>
        <v>1903.9999999999998</v>
      </c>
      <c r="BD25" s="34">
        <f t="shared" si="11"/>
        <v>2209.1999999999998</v>
      </c>
      <c r="BE25" s="35">
        <f t="shared" si="12"/>
        <v>0.16029411764705886</v>
      </c>
      <c r="BF25" s="35">
        <f t="shared" si="13"/>
        <v>3.5002220240370141E-2</v>
      </c>
      <c r="BG25" s="7"/>
      <c r="BH25" s="7"/>
      <c r="BI25" s="7"/>
      <c r="BJ25" s="7"/>
    </row>
    <row r="26" spans="1:77" ht="18" customHeight="1" thickBot="1" x14ac:dyDescent="0.35">
      <c r="A26" s="24"/>
      <c r="B26" s="16" t="s">
        <v>77</v>
      </c>
      <c r="C26" s="53">
        <f>SUM(C23:C25)</f>
        <v>24719.5</v>
      </c>
      <c r="D26" s="53">
        <f>SUM(D23:D25)</f>
        <v>26508.600000000002</v>
      </c>
      <c r="E26" s="53">
        <f t="shared" ref="E26:H26" si="14">SUM(E23:E25)</f>
        <v>23517.999999999996</v>
      </c>
      <c r="F26" s="53">
        <f t="shared" si="14"/>
        <v>29060.6</v>
      </c>
      <c r="G26" s="53">
        <f t="shared" si="14"/>
        <v>32250.3</v>
      </c>
      <c r="H26" s="53">
        <f t="shared" si="14"/>
        <v>35975.599999999999</v>
      </c>
      <c r="I26" s="53">
        <f>SUM(I23:I25)</f>
        <v>36176.1</v>
      </c>
      <c r="J26" s="53">
        <f>SUM(J23:J25)</f>
        <v>37184.400000000001</v>
      </c>
      <c r="K26" s="53">
        <f>SUM(K23:K25)</f>
        <v>37701.699999999997</v>
      </c>
      <c r="L26" s="36"/>
      <c r="M26" s="36"/>
      <c r="N26" s="24"/>
      <c r="O26" s="16" t="s">
        <v>77</v>
      </c>
      <c r="P26" s="54">
        <f>SUM(P23:P25)</f>
        <v>6031.8</v>
      </c>
      <c r="Q26" s="54">
        <f>SUM(Q23:Q25)</f>
        <v>6310.3</v>
      </c>
      <c r="R26" s="54">
        <f>SUM(R23:R25)</f>
        <v>6303.7000000000007</v>
      </c>
      <c r="S26" s="54">
        <f t="shared" ref="S26:AU26" si="15">SUM(S23:S25)</f>
        <v>6632.7000000000007</v>
      </c>
      <c r="T26" s="54">
        <f t="shared" si="15"/>
        <v>6305.9</v>
      </c>
      <c r="U26" s="54">
        <f t="shared" si="15"/>
        <v>6823</v>
      </c>
      <c r="V26" s="54">
        <f t="shared" si="15"/>
        <v>6747.0000000000018</v>
      </c>
      <c r="W26" s="54">
        <f t="shared" si="15"/>
        <v>7097.0999999999995</v>
      </c>
      <c r="X26" s="54">
        <f t="shared" si="15"/>
        <v>5995.7</v>
      </c>
      <c r="Y26" s="54">
        <f t="shared" si="15"/>
        <v>4222.1000000000004</v>
      </c>
      <c r="Z26" s="54">
        <f t="shared" si="15"/>
        <v>6203.0999999999985</v>
      </c>
      <c r="AA26" s="54">
        <f t="shared" si="15"/>
        <v>6749.4000000000005</v>
      </c>
      <c r="AB26" s="54">
        <f t="shared" si="15"/>
        <v>6668</v>
      </c>
      <c r="AC26" s="54">
        <f t="shared" si="15"/>
        <v>7496.5</v>
      </c>
      <c r="AD26" s="54">
        <f t="shared" si="15"/>
        <v>8146.7</v>
      </c>
      <c r="AE26" s="54">
        <f t="shared" si="15"/>
        <v>8050.4</v>
      </c>
      <c r="AF26" s="54">
        <f t="shared" si="15"/>
        <v>7635.5999999999995</v>
      </c>
      <c r="AG26" s="54">
        <f t="shared" si="15"/>
        <v>8150.1</v>
      </c>
      <c r="AH26" s="54">
        <f t="shared" si="15"/>
        <v>8414.1999999999989</v>
      </c>
      <c r="AI26" s="54">
        <f t="shared" si="15"/>
        <v>8713.9</v>
      </c>
      <c r="AJ26" s="54">
        <f t="shared" si="15"/>
        <v>8719.7999999999993</v>
      </c>
      <c r="AK26" s="54">
        <f t="shared" si="15"/>
        <v>9168.2999999999993</v>
      </c>
      <c r="AL26" s="54">
        <f t="shared" si="15"/>
        <v>9373.6</v>
      </c>
      <c r="AM26" s="54">
        <f t="shared" si="15"/>
        <v>9425.2999999999993</v>
      </c>
      <c r="AN26" s="54">
        <f t="shared" si="15"/>
        <v>8563</v>
      </c>
      <c r="AO26" s="54">
        <f t="shared" si="15"/>
        <v>9113.9</v>
      </c>
      <c r="AP26" s="54">
        <f t="shared" si="15"/>
        <v>9073.9</v>
      </c>
      <c r="AQ26" s="54">
        <f t="shared" si="15"/>
        <v>9397.7999999999993</v>
      </c>
      <c r="AR26" s="54">
        <f t="shared" si="15"/>
        <v>8761.6</v>
      </c>
      <c r="AS26" s="54">
        <f t="shared" si="15"/>
        <v>9456</v>
      </c>
      <c r="AT26" s="54">
        <f t="shared" si="15"/>
        <v>9569</v>
      </c>
      <c r="AU26" s="54">
        <f t="shared" si="15"/>
        <v>9915.1</v>
      </c>
      <c r="AV26" s="33"/>
      <c r="AW26" s="6" t="s">
        <v>77</v>
      </c>
      <c r="AX26" s="33"/>
      <c r="AY26" s="33"/>
      <c r="AZ26" s="33"/>
      <c r="BB26" s="33"/>
      <c r="BC26" s="33"/>
      <c r="BD26" s="33"/>
      <c r="BE26" s="7"/>
      <c r="BF26" s="7"/>
      <c r="BG26" s="7"/>
      <c r="BH26" s="7"/>
      <c r="BI26" s="7"/>
      <c r="BJ26" s="7"/>
    </row>
    <row r="27" spans="1:77" ht="18" customHeight="1" thickTop="1" x14ac:dyDescent="0.3">
      <c r="A27" s="24"/>
      <c r="B27" s="55" t="s">
        <v>78</v>
      </c>
      <c r="C27" s="7"/>
      <c r="D27" s="7"/>
      <c r="E27" s="7"/>
      <c r="F27" s="7"/>
      <c r="G27" s="7"/>
      <c r="H27" s="7"/>
      <c r="J27" s="55"/>
      <c r="K27" s="55"/>
      <c r="L27" s="55"/>
      <c r="M27" s="55"/>
      <c r="N27" s="24"/>
      <c r="O27" s="55" t="s">
        <v>78</v>
      </c>
      <c r="P27" s="29"/>
      <c r="Q27" s="29"/>
      <c r="R27" s="29"/>
      <c r="S27" s="29"/>
      <c r="T27" s="29"/>
      <c r="U27" s="29"/>
      <c r="V27" s="29"/>
      <c r="W27" s="29"/>
      <c r="X27" s="29"/>
      <c r="Y27" s="29"/>
      <c r="Z27" s="29"/>
      <c r="AA27" s="29"/>
      <c r="AB27" s="29"/>
      <c r="AC27" s="29"/>
      <c r="AD27" s="29"/>
      <c r="AE27" s="29"/>
      <c r="AF27" s="7"/>
      <c r="AG27" s="7"/>
      <c r="AH27" s="29"/>
      <c r="AI27" s="29"/>
      <c r="AJ27" s="7"/>
      <c r="AK27" s="7"/>
      <c r="AL27" s="7"/>
      <c r="AM27" s="7"/>
      <c r="AN27" s="7"/>
      <c r="AO27" s="7"/>
      <c r="AP27" s="7"/>
      <c r="AQ27" s="7"/>
      <c r="AR27" s="7"/>
      <c r="AS27" s="7"/>
      <c r="AT27" s="7"/>
      <c r="AU27" s="7"/>
      <c r="AV27" s="7"/>
      <c r="AW27" s="56"/>
      <c r="AX27" s="7"/>
      <c r="AY27" s="33"/>
      <c r="AZ27" s="33"/>
      <c r="BB27" s="33"/>
      <c r="BC27" s="33"/>
      <c r="BD27" s="33"/>
      <c r="BE27" s="7"/>
      <c r="BF27" s="7"/>
      <c r="BG27" s="7"/>
      <c r="BH27" s="7"/>
      <c r="BI27" s="7"/>
      <c r="BJ27" s="7"/>
    </row>
    <row r="28" spans="1:77" ht="18" customHeight="1" x14ac:dyDescent="0.3">
      <c r="A28" s="24"/>
      <c r="B28" s="7"/>
      <c r="C28" s="7"/>
      <c r="D28" s="7"/>
      <c r="E28" s="7"/>
      <c r="F28" s="7"/>
      <c r="G28" s="7"/>
      <c r="H28" s="7"/>
      <c r="J28" s="7"/>
      <c r="K28" s="7"/>
      <c r="L28" s="7"/>
      <c r="M28" s="7"/>
      <c r="N28" s="24"/>
      <c r="O28" s="7"/>
      <c r="P28" s="29"/>
      <c r="Q28" s="29"/>
      <c r="R28" s="29"/>
      <c r="S28" s="23"/>
      <c r="T28" s="23"/>
      <c r="U28" s="23"/>
      <c r="V28" s="23"/>
      <c r="W28" s="23"/>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32"/>
      <c r="AX28" s="7"/>
      <c r="AY28" s="33"/>
      <c r="AZ28" s="33"/>
      <c r="BB28" s="33"/>
      <c r="BC28" s="33"/>
      <c r="BD28" s="23"/>
      <c r="BE28" s="7"/>
      <c r="BF28" s="2"/>
    </row>
    <row r="29" spans="1:77" ht="18" customHeight="1" x14ac:dyDescent="0.3">
      <c r="A29" s="16" t="s">
        <v>68</v>
      </c>
      <c r="B29" s="8" t="s">
        <v>79</v>
      </c>
      <c r="C29" s="8">
        <v>2018</v>
      </c>
      <c r="D29" s="8">
        <v>2019</v>
      </c>
      <c r="E29" s="8">
        <v>2020</v>
      </c>
      <c r="F29" s="9">
        <v>2021</v>
      </c>
      <c r="G29" s="10">
        <v>2022</v>
      </c>
      <c r="H29" s="11">
        <v>2023</v>
      </c>
      <c r="I29" s="12">
        <v>2024</v>
      </c>
      <c r="J29" s="13">
        <v>2025</v>
      </c>
      <c r="K29" s="14" t="s">
        <v>6</v>
      </c>
      <c r="L29" s="8"/>
      <c r="M29" s="8"/>
      <c r="N29" s="16" t="s">
        <v>68</v>
      </c>
      <c r="O29" s="8" t="s">
        <v>79</v>
      </c>
      <c r="P29" s="16" t="s">
        <v>7</v>
      </c>
      <c r="Q29" s="16" t="s">
        <v>8</v>
      </c>
      <c r="R29" s="17" t="s">
        <v>9</v>
      </c>
      <c r="S29" s="16" t="s">
        <v>10</v>
      </c>
      <c r="T29" s="16" t="s">
        <v>11</v>
      </c>
      <c r="U29" s="16" t="s">
        <v>12</v>
      </c>
      <c r="V29" s="17" t="s">
        <v>13</v>
      </c>
      <c r="W29" s="16" t="s">
        <v>14</v>
      </c>
      <c r="X29" s="16" t="s">
        <v>15</v>
      </c>
      <c r="Y29" s="16" t="s">
        <v>16</v>
      </c>
      <c r="Z29" s="17" t="s">
        <v>17</v>
      </c>
      <c r="AA29" s="16" t="s">
        <v>18</v>
      </c>
      <c r="AB29" s="16" t="s">
        <v>19</v>
      </c>
      <c r="AC29" s="16" t="s">
        <v>20</v>
      </c>
      <c r="AD29" s="17" t="s">
        <v>21</v>
      </c>
      <c r="AE29" s="16" t="s">
        <v>22</v>
      </c>
      <c r="AF29" s="16" t="s">
        <v>23</v>
      </c>
      <c r="AG29" s="16" t="s">
        <v>24</v>
      </c>
      <c r="AH29" s="17" t="s">
        <v>70</v>
      </c>
      <c r="AI29" s="16" t="s">
        <v>26</v>
      </c>
      <c r="AJ29" s="16" t="s">
        <v>27</v>
      </c>
      <c r="AK29" s="16" t="s">
        <v>28</v>
      </c>
      <c r="AL29" s="17" t="s">
        <v>29</v>
      </c>
      <c r="AM29" s="16" t="s">
        <v>30</v>
      </c>
      <c r="AN29" s="18" t="s">
        <v>31</v>
      </c>
      <c r="AO29" s="16" t="s">
        <v>32</v>
      </c>
      <c r="AP29" s="17" t="s">
        <v>33</v>
      </c>
      <c r="AQ29" s="16" t="s">
        <v>34</v>
      </c>
      <c r="AR29" s="18" t="s">
        <v>35</v>
      </c>
      <c r="AS29" s="16" t="s">
        <v>36</v>
      </c>
      <c r="AT29" s="17" t="s">
        <v>37</v>
      </c>
      <c r="AU29" s="16" t="s">
        <v>38</v>
      </c>
      <c r="AV29" s="17"/>
      <c r="AW29" s="6" t="s">
        <v>79</v>
      </c>
      <c r="AX29" s="19"/>
      <c r="AY29" s="8"/>
      <c r="AZ29" s="8"/>
      <c r="BB29" s="6" t="s">
        <v>79</v>
      </c>
      <c r="BC29" s="20" t="s">
        <v>39</v>
      </c>
      <c r="BD29" s="20" t="s">
        <v>40</v>
      </c>
      <c r="BE29" s="20" t="s">
        <v>41</v>
      </c>
      <c r="BF29" s="20" t="s">
        <v>42</v>
      </c>
    </row>
    <row r="30" spans="1:77" ht="18" customHeight="1" x14ac:dyDescent="0.3">
      <c r="A30" s="24" t="s">
        <v>43</v>
      </c>
      <c r="B30" s="7" t="s">
        <v>80</v>
      </c>
      <c r="C30" s="34">
        <v>16748.599999999999</v>
      </c>
      <c r="D30" s="34">
        <v>18259</v>
      </c>
      <c r="E30" s="34">
        <v>16379.2</v>
      </c>
      <c r="F30" s="34">
        <v>20447.900000000001</v>
      </c>
      <c r="G30" s="34">
        <v>23370.799999999999</v>
      </c>
      <c r="H30" s="34">
        <v>26569.599999999999</v>
      </c>
      <c r="I30" s="34">
        <v>27009.5</v>
      </c>
      <c r="J30" s="34">
        <v>27373.1</v>
      </c>
      <c r="K30" s="34">
        <v>27581.7</v>
      </c>
      <c r="L30" s="7"/>
      <c r="M30" s="7"/>
      <c r="N30" s="24" t="s">
        <v>43</v>
      </c>
      <c r="O30" s="7" t="s">
        <v>80</v>
      </c>
      <c r="P30" s="57">
        <v>3996.3</v>
      </c>
      <c r="Q30" s="57">
        <v>4231</v>
      </c>
      <c r="R30" s="29">
        <v>4254</v>
      </c>
      <c r="S30" s="29">
        <v>4612.5</v>
      </c>
      <c r="T30" s="29">
        <v>4305.8999999999996</v>
      </c>
      <c r="U30" s="29">
        <v>4671.8</v>
      </c>
      <c r="V30" s="29">
        <v>4668.7999999999993</v>
      </c>
      <c r="W30" s="29">
        <v>5010.8999999999996</v>
      </c>
      <c r="X30" s="29">
        <v>4330</v>
      </c>
      <c r="Y30" s="29">
        <v>2805.5</v>
      </c>
      <c r="Z30" s="29">
        <v>4149.8000000000011</v>
      </c>
      <c r="AA30" s="29">
        <v>4675.6000000000004</v>
      </c>
      <c r="AB30" s="29">
        <v>4664.6000000000004</v>
      </c>
      <c r="AC30" s="29">
        <v>5400.3</v>
      </c>
      <c r="AD30" s="29">
        <v>5707.4000000000015</v>
      </c>
      <c r="AE30" s="29">
        <v>5723.3</v>
      </c>
      <c r="AF30" s="29">
        <v>5445.7</v>
      </c>
      <c r="AG30" s="29">
        <v>6058.4</v>
      </c>
      <c r="AH30" s="29">
        <v>6134.4</v>
      </c>
      <c r="AI30" s="29">
        <v>6551.3</v>
      </c>
      <c r="AJ30" s="29">
        <v>6380.6</v>
      </c>
      <c r="AK30" s="29">
        <v>6737.8</v>
      </c>
      <c r="AL30" s="29">
        <v>6900</v>
      </c>
      <c r="AM30" s="29">
        <v>7120.7</v>
      </c>
      <c r="AN30" s="29">
        <v>6380</v>
      </c>
      <c r="AO30" s="29">
        <v>6816.7</v>
      </c>
      <c r="AP30" s="29">
        <v>6691.9</v>
      </c>
      <c r="AQ30" s="29">
        <v>7071.9</v>
      </c>
      <c r="AR30" s="29">
        <v>6472.7</v>
      </c>
      <c r="AS30" s="29">
        <v>6927</v>
      </c>
      <c r="AT30" s="29">
        <v>6901.5</v>
      </c>
      <c r="AU30" s="29">
        <v>7280.5</v>
      </c>
      <c r="AV30" s="29"/>
      <c r="AW30" s="32" t="s">
        <v>80</v>
      </c>
      <c r="AX30" s="57"/>
      <c r="AY30" s="57"/>
      <c r="AZ30" s="57"/>
      <c r="BB30" s="32" t="s">
        <v>81</v>
      </c>
      <c r="BC30" s="34">
        <f>SUM(AN30:AQ30)</f>
        <v>26960.5</v>
      </c>
      <c r="BD30" s="34">
        <f>SUM(AR30:AU30)</f>
        <v>27581.7</v>
      </c>
      <c r="BE30" s="35">
        <f>(BD30-BC30)/ABS(BC30)</f>
        <v>2.3041115706311111E-2</v>
      </c>
      <c r="BF30" s="35">
        <f>(AU30/AP30)^(1/5)-1</f>
        <v>1.7003278007729605E-2</v>
      </c>
    </row>
    <row r="31" spans="1:77" ht="18" customHeight="1" x14ac:dyDescent="0.3">
      <c r="A31" s="24" t="s">
        <v>43</v>
      </c>
      <c r="B31" s="7" t="s">
        <v>82</v>
      </c>
      <c r="C31" s="34">
        <v>5551.2</v>
      </c>
      <c r="D31" s="34">
        <v>6190.7</v>
      </c>
      <c r="E31" s="34">
        <v>5147.6000000000004</v>
      </c>
      <c r="F31" s="34">
        <v>6921.6</v>
      </c>
      <c r="G31" s="34">
        <v>6940.1</v>
      </c>
      <c r="H31" s="34">
        <v>7487.6</v>
      </c>
      <c r="I31" s="34">
        <v>7338.9</v>
      </c>
      <c r="J31" s="34">
        <v>7820</v>
      </c>
      <c r="K31" s="34">
        <v>8013.6</v>
      </c>
      <c r="L31" s="7"/>
      <c r="M31" s="7"/>
      <c r="N31" s="24" t="s">
        <v>43</v>
      </c>
      <c r="O31" s="7" t="s">
        <v>82</v>
      </c>
      <c r="P31" s="57">
        <v>1186.4000000000001</v>
      </c>
      <c r="Q31" s="57">
        <v>1504</v>
      </c>
      <c r="R31" s="29">
        <v>1482</v>
      </c>
      <c r="S31" s="29">
        <v>1504</v>
      </c>
      <c r="T31" s="29">
        <v>1289.0999999999999</v>
      </c>
      <c r="U31" s="29">
        <v>1336.9</v>
      </c>
      <c r="V31" s="29">
        <v>2060.6999999999998</v>
      </c>
      <c r="W31" s="29">
        <v>1571.1</v>
      </c>
      <c r="X31" s="29">
        <v>1134.5999999999999</v>
      </c>
      <c r="Y31" s="29">
        <v>949.6</v>
      </c>
      <c r="Z31" s="29">
        <v>1575.3000000000006</v>
      </c>
      <c r="AA31" s="29">
        <v>1681.9</v>
      </c>
      <c r="AB31" s="29">
        <v>1610.9</v>
      </c>
      <c r="AC31" s="29">
        <v>1658.4</v>
      </c>
      <c r="AD31" s="29">
        <v>1970.3999999999996</v>
      </c>
      <c r="AE31" s="29">
        <v>1875.9</v>
      </c>
      <c r="AF31" s="29">
        <v>1702.4</v>
      </c>
      <c r="AG31" s="29">
        <v>1584.7</v>
      </c>
      <c r="AH31" s="29">
        <v>1777</v>
      </c>
      <c r="AI31" s="29">
        <v>1680.1</v>
      </c>
      <c r="AJ31" s="29">
        <v>1854.8</v>
      </c>
      <c r="AK31" s="29">
        <v>1972.9</v>
      </c>
      <c r="AL31" s="29">
        <v>1979.9</v>
      </c>
      <c r="AM31" s="29">
        <v>1846.3</v>
      </c>
      <c r="AN31" s="29">
        <v>1757.3</v>
      </c>
      <c r="AO31" s="29">
        <v>1842.1</v>
      </c>
      <c r="AP31" s="29">
        <v>1893.2</v>
      </c>
      <c r="AQ31" s="29">
        <v>1871.3</v>
      </c>
      <c r="AR31" s="29">
        <v>1867.1</v>
      </c>
      <c r="AS31" s="29">
        <v>2010.7</v>
      </c>
      <c r="AT31" s="29">
        <v>2070.9</v>
      </c>
      <c r="AU31" s="29">
        <v>2064.9</v>
      </c>
      <c r="AV31" s="29"/>
      <c r="AW31" s="32" t="s">
        <v>82</v>
      </c>
      <c r="AX31" s="57"/>
      <c r="AY31" s="57"/>
      <c r="AZ31" s="57"/>
      <c r="BB31" s="32" t="s">
        <v>83</v>
      </c>
      <c r="BC31" s="34">
        <f t="shared" ref="BC31:BC32" si="16">SUM(AN31:AQ31)</f>
        <v>7363.9</v>
      </c>
      <c r="BD31" s="34">
        <f t="shared" ref="BD31:BD32" si="17">SUM(AR31:AU31)</f>
        <v>8013.6</v>
      </c>
      <c r="BE31" s="35">
        <f t="shared" ref="BE31:BE32" si="18">(BD31-BC31)/ABS(BC31)</f>
        <v>8.8227705427830469E-2</v>
      </c>
      <c r="BF31" s="35">
        <f t="shared" ref="BF31:BF32" si="19">(AU31/AP31)^(1/5)-1</f>
        <v>1.7514263082706982E-2</v>
      </c>
    </row>
    <row r="32" spans="1:77" ht="18" customHeight="1" x14ac:dyDescent="0.3">
      <c r="A32" s="24" t="s">
        <v>43</v>
      </c>
      <c r="B32" s="7" t="s">
        <v>84</v>
      </c>
      <c r="C32" s="34">
        <v>2420</v>
      </c>
      <c r="D32" s="34">
        <v>2058.6</v>
      </c>
      <c r="E32" s="34">
        <v>1991.2</v>
      </c>
      <c r="F32" s="34">
        <v>1691.1</v>
      </c>
      <c r="G32" s="34">
        <v>1939.3999999999999</v>
      </c>
      <c r="H32" s="34">
        <v>1918.3999999999999</v>
      </c>
      <c r="I32" s="34">
        <v>1827.8</v>
      </c>
      <c r="J32" s="34">
        <v>1991.3</v>
      </c>
      <c r="K32" s="52">
        <v>2106.8000000000002</v>
      </c>
      <c r="L32" s="7"/>
      <c r="M32" s="7"/>
      <c r="N32" s="24" t="s">
        <v>43</v>
      </c>
      <c r="O32" s="7" t="s">
        <v>84</v>
      </c>
      <c r="P32" s="29">
        <v>849.09999999999945</v>
      </c>
      <c r="Q32" s="29">
        <v>575</v>
      </c>
      <c r="R32" s="29">
        <v>568</v>
      </c>
      <c r="S32" s="29">
        <v>516.19999999999982</v>
      </c>
      <c r="T32" s="29">
        <v>710.89999999999964</v>
      </c>
      <c r="U32" s="29">
        <v>814.29999999999927</v>
      </c>
      <c r="V32" s="29">
        <v>17.500000000000909</v>
      </c>
      <c r="W32" s="29">
        <v>515.10000000000036</v>
      </c>
      <c r="X32" s="29">
        <v>531.09999999999945</v>
      </c>
      <c r="Y32" s="29">
        <v>467.00000000000045</v>
      </c>
      <c r="Z32" s="29">
        <v>477.99999999999818</v>
      </c>
      <c r="AA32" s="29">
        <v>391.89999999999964</v>
      </c>
      <c r="AB32" s="29">
        <v>392.5</v>
      </c>
      <c r="AC32" s="29">
        <v>437.79999999999927</v>
      </c>
      <c r="AD32" s="29">
        <v>468.5</v>
      </c>
      <c r="AE32" s="29">
        <v>451.19999999999891</v>
      </c>
      <c r="AF32" s="29">
        <f>487.4</f>
        <v>487.4</v>
      </c>
      <c r="AG32" s="29">
        <f>506.5</f>
        <v>506.5</v>
      </c>
      <c r="AH32" s="29">
        <v>502.5</v>
      </c>
      <c r="AI32" s="29">
        <v>483</v>
      </c>
      <c r="AJ32" s="29">
        <v>485</v>
      </c>
      <c r="AK32" s="29">
        <v>457</v>
      </c>
      <c r="AL32" s="29">
        <v>494</v>
      </c>
      <c r="AM32" s="29">
        <v>458</v>
      </c>
      <c r="AN32" s="29">
        <v>425.7</v>
      </c>
      <c r="AO32" s="29">
        <v>455</v>
      </c>
      <c r="AP32" s="29">
        <v>489</v>
      </c>
      <c r="AQ32" s="29">
        <v>455</v>
      </c>
      <c r="AR32" s="29">
        <v>421.8</v>
      </c>
      <c r="AS32" s="29">
        <v>518</v>
      </c>
      <c r="AT32" s="29">
        <v>597</v>
      </c>
      <c r="AU32" s="29">
        <v>570</v>
      </c>
      <c r="AV32" s="29"/>
      <c r="AW32" s="32" t="s">
        <v>84</v>
      </c>
      <c r="AX32" s="33"/>
      <c r="AY32" s="33"/>
      <c r="AZ32" s="33"/>
      <c r="BB32" s="32" t="s">
        <v>85</v>
      </c>
      <c r="BC32" s="34">
        <f t="shared" si="16"/>
        <v>1824.7</v>
      </c>
      <c r="BD32" s="34">
        <f t="shared" si="17"/>
        <v>2106.8000000000002</v>
      </c>
      <c r="BE32" s="35">
        <f t="shared" si="18"/>
        <v>0.15460075628870507</v>
      </c>
      <c r="BF32" s="35">
        <f t="shared" si="19"/>
        <v>3.1129470010790472E-2</v>
      </c>
    </row>
    <row r="33" spans="1:65" ht="18" customHeight="1" thickBot="1" x14ac:dyDescent="0.35">
      <c r="A33" s="24"/>
      <c r="B33" s="16" t="s">
        <v>77</v>
      </c>
      <c r="C33" s="53">
        <f>SUM(C30:C32)</f>
        <v>24719.8</v>
      </c>
      <c r="D33" s="53">
        <f>SUM(D30:D32)</f>
        <v>26508.3</v>
      </c>
      <c r="E33" s="53">
        <f t="shared" ref="E33:G33" si="20">SUM(E30:E32)</f>
        <v>23518.000000000004</v>
      </c>
      <c r="F33" s="53">
        <f t="shared" si="20"/>
        <v>29060.6</v>
      </c>
      <c r="G33" s="53">
        <f t="shared" si="20"/>
        <v>32250.300000000003</v>
      </c>
      <c r="H33" s="53">
        <f>SUM(H30:H32)</f>
        <v>35975.599999999999</v>
      </c>
      <c r="I33" s="53">
        <f t="shared" ref="I33:J33" si="21">SUM(I30:I32)</f>
        <v>36176.200000000004</v>
      </c>
      <c r="J33" s="53">
        <f t="shared" si="21"/>
        <v>37184.400000000001</v>
      </c>
      <c r="K33" s="53">
        <f>SUM(K30:K32)</f>
        <v>37702.100000000006</v>
      </c>
      <c r="L33" s="6"/>
      <c r="M33" s="6"/>
      <c r="N33" s="24"/>
      <c r="O33" s="16" t="s">
        <v>77</v>
      </c>
      <c r="P33" s="54">
        <f t="shared" ref="P33:AF33" si="22">SUM(P30:P32)</f>
        <v>6031.8</v>
      </c>
      <c r="Q33" s="54">
        <f t="shared" si="22"/>
        <v>6310</v>
      </c>
      <c r="R33" s="54">
        <f t="shared" si="22"/>
        <v>6304</v>
      </c>
      <c r="S33" s="54">
        <f t="shared" si="22"/>
        <v>6632.7</v>
      </c>
      <c r="T33" s="54">
        <f t="shared" si="22"/>
        <v>6305.9</v>
      </c>
      <c r="U33" s="54">
        <f t="shared" si="22"/>
        <v>6823</v>
      </c>
      <c r="V33" s="54">
        <f t="shared" si="22"/>
        <v>6747</v>
      </c>
      <c r="W33" s="54">
        <f t="shared" si="22"/>
        <v>7097.1</v>
      </c>
      <c r="X33" s="54">
        <f t="shared" si="22"/>
        <v>5995.7</v>
      </c>
      <c r="Y33" s="54">
        <f t="shared" si="22"/>
        <v>4222.1000000000004</v>
      </c>
      <c r="Z33" s="54">
        <f t="shared" si="22"/>
        <v>6203.1</v>
      </c>
      <c r="AA33" s="54">
        <f t="shared" si="22"/>
        <v>6749.4</v>
      </c>
      <c r="AB33" s="54">
        <f t="shared" si="22"/>
        <v>6668</v>
      </c>
      <c r="AC33" s="54">
        <f t="shared" si="22"/>
        <v>7496.5</v>
      </c>
      <c r="AD33" s="54">
        <f t="shared" si="22"/>
        <v>8146.3000000000011</v>
      </c>
      <c r="AE33" s="54">
        <f t="shared" si="22"/>
        <v>8050.4</v>
      </c>
      <c r="AF33" s="54">
        <f t="shared" si="22"/>
        <v>7635.5</v>
      </c>
      <c r="AG33" s="54">
        <f>SUM(AG30:AG32)</f>
        <v>8149.5999999999995</v>
      </c>
      <c r="AH33" s="54">
        <f>SUM(AH30:AH32)</f>
        <v>8413.9</v>
      </c>
      <c r="AI33" s="54">
        <f t="shared" ref="AI33:AJ33" si="23">SUM(AI30:AI32)</f>
        <v>8714.4</v>
      </c>
      <c r="AJ33" s="54">
        <f t="shared" si="23"/>
        <v>8720.4</v>
      </c>
      <c r="AK33" s="54">
        <f>SUM(AK30:AK32)</f>
        <v>9167.7000000000007</v>
      </c>
      <c r="AL33" s="54">
        <f>SUM(AL30:AL32)</f>
        <v>9373.9</v>
      </c>
      <c r="AM33" s="54">
        <f t="shared" ref="AM33:AN33" si="24">SUM(AM30:AM32)</f>
        <v>9425</v>
      </c>
      <c r="AN33" s="54">
        <f t="shared" si="24"/>
        <v>8563</v>
      </c>
      <c r="AO33" s="54">
        <f>SUM(AO30:AO32)</f>
        <v>9113.7999999999993</v>
      </c>
      <c r="AP33" s="54">
        <f>SUM(AP30:AP32)</f>
        <v>9074.1</v>
      </c>
      <c r="AQ33" s="54">
        <f t="shared" ref="AQ33:AR33" si="25">SUM(AQ30:AQ32)</f>
        <v>9398.1999999999989</v>
      </c>
      <c r="AR33" s="54">
        <f t="shared" si="25"/>
        <v>8761.5999999999985</v>
      </c>
      <c r="AS33" s="54">
        <f>SUM(AS30:AS32)</f>
        <v>9455.7000000000007</v>
      </c>
      <c r="AT33" s="54">
        <f>SUM(AT30:AT32)</f>
        <v>9569.4</v>
      </c>
      <c r="AU33" s="54">
        <f t="shared" ref="AU33" si="26">SUM(AU30:AU32)</f>
        <v>9915.4</v>
      </c>
      <c r="AV33" s="33"/>
      <c r="AW33" s="6" t="s">
        <v>77</v>
      </c>
      <c r="AX33" s="33"/>
      <c r="AY33" s="33"/>
      <c r="AZ33" s="33"/>
      <c r="BB33" s="33"/>
      <c r="BC33" s="33"/>
      <c r="BD33" s="33"/>
      <c r="BE33" s="2"/>
      <c r="BF33" s="2"/>
    </row>
    <row r="34" spans="1:65" ht="18" customHeight="1" thickTop="1" x14ac:dyDescent="0.3">
      <c r="B34" s="7" t="s">
        <v>86</v>
      </c>
      <c r="C34" s="7"/>
      <c r="D34" s="7"/>
      <c r="E34" s="7"/>
      <c r="F34" s="7"/>
      <c r="G34" s="7"/>
      <c r="H34" s="7"/>
      <c r="J34" s="7"/>
      <c r="K34" s="7"/>
      <c r="L34" s="7"/>
      <c r="M34" s="7"/>
      <c r="O34" s="7" t="s">
        <v>86</v>
      </c>
      <c r="W34" s="58"/>
      <c r="AH34" s="58"/>
      <c r="AI34"/>
      <c r="AJ34" s="58"/>
      <c r="AK34" s="58"/>
      <c r="AL34"/>
      <c r="AM34"/>
      <c r="AN34" s="59"/>
      <c r="AO34" s="58"/>
      <c r="AP34"/>
      <c r="AQ34"/>
      <c r="AR34" s="59"/>
      <c r="AS34" s="58"/>
      <c r="AT34"/>
      <c r="AU34"/>
      <c r="AV34"/>
      <c r="AW34" s="32"/>
      <c r="AX34"/>
      <c r="AY34"/>
      <c r="AZ34"/>
      <c r="BE34" s="2"/>
      <c r="BF34" s="2"/>
    </row>
    <row r="35" spans="1:65" ht="18" customHeight="1" x14ac:dyDescent="0.3">
      <c r="C35" s="7"/>
      <c r="D35" s="7"/>
      <c r="E35" s="7"/>
      <c r="F35" s="7"/>
      <c r="G35" s="7"/>
      <c r="H35" s="7"/>
      <c r="J35" s="7"/>
      <c r="K35" s="7"/>
      <c r="L35" s="7"/>
      <c r="M35" s="7"/>
      <c r="AI35"/>
      <c r="AJ35"/>
      <c r="AK35"/>
      <c r="AL35" s="58"/>
      <c r="AM35"/>
      <c r="AN35"/>
      <c r="AO35"/>
      <c r="AP35" s="58"/>
      <c r="AQ35"/>
      <c r="AR35"/>
      <c r="AS35"/>
      <c r="AT35" s="58"/>
      <c r="AU35"/>
      <c r="AV35" s="58"/>
      <c r="AW35" s="51"/>
      <c r="AX35"/>
      <c r="AY35"/>
      <c r="AZ35"/>
      <c r="BE35" s="2"/>
      <c r="BF35" s="2"/>
    </row>
    <row r="36" spans="1:65" ht="18" customHeight="1" x14ac:dyDescent="0.3">
      <c r="A36" s="16" t="s">
        <v>68</v>
      </c>
      <c r="B36" s="8" t="s">
        <v>87</v>
      </c>
      <c r="C36" s="8">
        <v>2018</v>
      </c>
      <c r="D36" s="8">
        <v>2019</v>
      </c>
      <c r="E36" s="8">
        <v>2020</v>
      </c>
      <c r="F36" s="9">
        <v>2021</v>
      </c>
      <c r="G36" s="10">
        <v>2022</v>
      </c>
      <c r="H36" s="11">
        <v>2023</v>
      </c>
      <c r="I36" s="12">
        <v>2024</v>
      </c>
      <c r="J36" s="13">
        <v>2025</v>
      </c>
      <c r="K36" s="14" t="s">
        <v>6</v>
      </c>
      <c r="N36" s="16" t="s">
        <v>68</v>
      </c>
      <c r="O36" s="8" t="s">
        <v>87</v>
      </c>
      <c r="P36" s="16" t="s">
        <v>7</v>
      </c>
      <c r="Q36" s="16" t="s">
        <v>8</v>
      </c>
      <c r="R36" s="17" t="s">
        <v>9</v>
      </c>
      <c r="S36" s="16" t="s">
        <v>10</v>
      </c>
      <c r="T36" s="16" t="s">
        <v>11</v>
      </c>
      <c r="U36" s="16" t="s">
        <v>12</v>
      </c>
      <c r="V36" s="17" t="s">
        <v>13</v>
      </c>
      <c r="W36" s="16" t="s">
        <v>14</v>
      </c>
      <c r="X36" s="16" t="s">
        <v>15</v>
      </c>
      <c r="Y36" s="16" t="s">
        <v>16</v>
      </c>
      <c r="Z36" s="17" t="s">
        <v>17</v>
      </c>
      <c r="AA36" s="16" t="s">
        <v>18</v>
      </c>
      <c r="AB36" s="16" t="s">
        <v>19</v>
      </c>
      <c r="AC36" s="16" t="s">
        <v>20</v>
      </c>
      <c r="AD36" s="17" t="s">
        <v>21</v>
      </c>
      <c r="AE36" s="16" t="s">
        <v>22</v>
      </c>
      <c r="AF36" s="16" t="s">
        <v>23</v>
      </c>
      <c r="AG36" s="16" t="s">
        <v>24</v>
      </c>
      <c r="AH36" s="17" t="s">
        <v>70</v>
      </c>
      <c r="AI36" s="16" t="s">
        <v>26</v>
      </c>
      <c r="AJ36" s="16" t="s">
        <v>27</v>
      </c>
      <c r="AK36" s="16" t="s">
        <v>28</v>
      </c>
      <c r="AL36" s="17" t="s">
        <v>29</v>
      </c>
      <c r="AM36" s="16" t="s">
        <v>30</v>
      </c>
      <c r="AN36" s="18" t="s">
        <v>31</v>
      </c>
      <c r="AO36" s="16" t="s">
        <v>32</v>
      </c>
      <c r="AP36" s="17" t="s">
        <v>33</v>
      </c>
      <c r="AQ36" s="16" t="s">
        <v>34</v>
      </c>
      <c r="AR36" s="18" t="s">
        <v>35</v>
      </c>
      <c r="AS36" s="16" t="s">
        <v>36</v>
      </c>
      <c r="AT36" s="17" t="s">
        <v>37</v>
      </c>
      <c r="AU36" s="16" t="s">
        <v>38</v>
      </c>
      <c r="AV36" s="17"/>
      <c r="AW36" s="6" t="s">
        <v>87</v>
      </c>
      <c r="AX36" s="19"/>
      <c r="AY36" s="8"/>
      <c r="AZ36" s="8"/>
      <c r="BB36" s="6" t="s">
        <v>87</v>
      </c>
      <c r="BC36" s="20" t="s">
        <v>39</v>
      </c>
      <c r="BD36" s="20" t="s">
        <v>40</v>
      </c>
      <c r="BE36" s="20" t="s">
        <v>41</v>
      </c>
      <c r="BF36" s="20" t="s">
        <v>42</v>
      </c>
    </row>
    <row r="37" spans="1:65" ht="18" customHeight="1" x14ac:dyDescent="0.3">
      <c r="A37" s="24" t="s">
        <v>43</v>
      </c>
      <c r="B37" s="7" t="s">
        <v>88</v>
      </c>
      <c r="C37" s="34">
        <v>14463.1</v>
      </c>
      <c r="D37" s="34">
        <v>15921.2</v>
      </c>
      <c r="E37" s="34">
        <v>14337.5</v>
      </c>
      <c r="F37" s="34">
        <v>18317</v>
      </c>
      <c r="G37" s="34">
        <v>19555.3</v>
      </c>
      <c r="H37" s="34">
        <v>21684.799999999999</v>
      </c>
      <c r="I37" s="34">
        <v>21883.9</v>
      </c>
      <c r="J37" s="34">
        <v>22539.9</v>
      </c>
      <c r="K37" s="34">
        <v>22806.100000000002</v>
      </c>
      <c r="N37" s="24" t="s">
        <v>43</v>
      </c>
      <c r="O37" s="7" t="s">
        <v>88</v>
      </c>
      <c r="P37" s="29">
        <v>3519.8</v>
      </c>
      <c r="Q37" s="29">
        <v>3766.2</v>
      </c>
      <c r="R37" s="29">
        <v>3759.1000000000004</v>
      </c>
      <c r="S37" s="29">
        <v>3926</v>
      </c>
      <c r="T37" s="29">
        <v>3760.4</v>
      </c>
      <c r="U37" s="29">
        <v>4122.1000000000004</v>
      </c>
      <c r="V37" s="29">
        <v>4112.7000000000007</v>
      </c>
      <c r="W37" s="29">
        <v>4260.8999999999996</v>
      </c>
      <c r="X37" s="29">
        <v>3530.9</v>
      </c>
      <c r="Y37" s="29">
        <v>2628.8</v>
      </c>
      <c r="Z37" s="29">
        <v>3916.9000000000015</v>
      </c>
      <c r="AA37" s="29">
        <v>4251.8999999999996</v>
      </c>
      <c r="AB37" s="29">
        <v>4212.8</v>
      </c>
      <c r="AC37" s="29">
        <v>4753.1000000000004</v>
      </c>
      <c r="AD37" s="29">
        <v>5099.1999999999989</v>
      </c>
      <c r="AE37" s="29">
        <v>4898.3999999999996</v>
      </c>
      <c r="AF37" s="29">
        <v>4599</v>
      </c>
      <c r="AG37" s="29">
        <v>4944.6000000000004</v>
      </c>
      <c r="AH37" s="29">
        <v>5113.2999999999993</v>
      </c>
      <c r="AI37" s="29">
        <v>5173</v>
      </c>
      <c r="AJ37" s="29">
        <v>5226.8999999999996</v>
      </c>
      <c r="AK37" s="29">
        <v>5587.9</v>
      </c>
      <c r="AL37" s="26">
        <v>5697</v>
      </c>
      <c r="AM37" s="29">
        <v>5695.9</v>
      </c>
      <c r="AN37" s="29">
        <v>5160.6000000000004</v>
      </c>
      <c r="AO37" s="29">
        <v>5528</v>
      </c>
      <c r="AP37" s="26">
        <v>5499.4000000000015</v>
      </c>
      <c r="AQ37" s="29">
        <v>5678</v>
      </c>
      <c r="AR37" s="29">
        <v>5293.6</v>
      </c>
      <c r="AS37" s="29">
        <v>5752</v>
      </c>
      <c r="AT37" s="26">
        <v>5816.3000000000029</v>
      </c>
      <c r="AU37" s="29">
        <v>5944.2</v>
      </c>
      <c r="AV37" s="26"/>
      <c r="AW37" s="32" t="s">
        <v>88</v>
      </c>
      <c r="AX37" s="33"/>
      <c r="AY37" s="33"/>
      <c r="AZ37" s="33"/>
      <c r="BB37" s="32" t="s">
        <v>89</v>
      </c>
      <c r="BC37" s="34">
        <f>SUM(AN37:AQ37)</f>
        <v>21866</v>
      </c>
      <c r="BD37" s="34">
        <f>SUM(AR37:AU37)</f>
        <v>22806.100000000002</v>
      </c>
      <c r="BE37" s="35">
        <f>(BD37-BC37)/ABS(BC37)</f>
        <v>4.2993688831976684E-2</v>
      </c>
      <c r="BF37" s="35">
        <f>(AU37/AP37)^(1/5)-1</f>
        <v>1.5677006646583003E-2</v>
      </c>
    </row>
    <row r="38" spans="1:65" ht="18" customHeight="1" x14ac:dyDescent="0.3">
      <c r="A38" s="24" t="s">
        <v>43</v>
      </c>
      <c r="B38" s="7" t="s">
        <v>90</v>
      </c>
      <c r="C38" s="34">
        <v>4397.7</v>
      </c>
      <c r="D38" s="34">
        <v>4336.3</v>
      </c>
      <c r="E38" s="34">
        <v>3799.2</v>
      </c>
      <c r="F38" s="34">
        <v>5053.3999999999996</v>
      </c>
      <c r="G38" s="34">
        <v>5804.2</v>
      </c>
      <c r="H38" s="34">
        <v>6585.1</v>
      </c>
      <c r="I38" s="34">
        <v>6749.2</v>
      </c>
      <c r="J38" s="34">
        <v>7049.9</v>
      </c>
      <c r="K38" s="34">
        <v>7140.7</v>
      </c>
      <c r="N38" s="24" t="s">
        <v>43</v>
      </c>
      <c r="O38" s="7" t="s">
        <v>90</v>
      </c>
      <c r="P38" s="29">
        <v>1067.0999999999999</v>
      </c>
      <c r="Q38" s="29">
        <v>1132.5999999999999</v>
      </c>
      <c r="R38" s="29">
        <v>1154.2999999999997</v>
      </c>
      <c r="S38" s="29">
        <v>1188.9000000000001</v>
      </c>
      <c r="T38" s="29">
        <v>1157.9000000000001</v>
      </c>
      <c r="U38" s="29">
        <v>1220.3</v>
      </c>
      <c r="V38" s="29">
        <v>769.19999999999982</v>
      </c>
      <c r="W38" s="29">
        <v>1281.4000000000001</v>
      </c>
      <c r="X38" s="29">
        <v>968.7</v>
      </c>
      <c r="Y38" s="29">
        <v>629.20000000000005</v>
      </c>
      <c r="Z38" s="29">
        <v>919.89999999999964</v>
      </c>
      <c r="AA38" s="29">
        <v>1140.8</v>
      </c>
      <c r="AB38" s="29">
        <v>1131.4000000000001</v>
      </c>
      <c r="AC38" s="29">
        <v>1311.2</v>
      </c>
      <c r="AD38" s="29">
        <v>1470</v>
      </c>
      <c r="AE38" s="29">
        <v>1434.6</v>
      </c>
      <c r="AF38" s="29">
        <v>1364.3</v>
      </c>
      <c r="AG38" s="29">
        <v>1472</v>
      </c>
      <c r="AH38" s="29">
        <v>1533.3000000000002</v>
      </c>
      <c r="AI38" s="29">
        <v>1565.9</v>
      </c>
      <c r="AJ38" s="29">
        <v>1590.9</v>
      </c>
      <c r="AK38" s="29">
        <v>1704.5</v>
      </c>
      <c r="AL38" s="26">
        <v>1723.8000000000002</v>
      </c>
      <c r="AM38" s="29">
        <v>1757.1</v>
      </c>
      <c r="AN38" s="29">
        <v>1583</v>
      </c>
      <c r="AO38" s="29">
        <v>1744.5</v>
      </c>
      <c r="AP38" s="26">
        <v>1664.5999999999995</v>
      </c>
      <c r="AQ38" s="29">
        <v>1790.4</v>
      </c>
      <c r="AR38" s="29">
        <v>1691.9</v>
      </c>
      <c r="AS38" s="29">
        <v>1787.5</v>
      </c>
      <c r="AT38" s="26">
        <v>1780.0999999999995</v>
      </c>
      <c r="AU38" s="29">
        <v>1881.2</v>
      </c>
      <c r="AV38" s="26"/>
      <c r="AW38" s="32" t="s">
        <v>90</v>
      </c>
      <c r="AX38" s="33"/>
      <c r="AY38" s="33"/>
      <c r="AZ38" s="33"/>
      <c r="BB38" s="32" t="s">
        <v>91</v>
      </c>
      <c r="BC38" s="34">
        <f t="shared" ref="BC38:BC39" si="27">SUM(AN38:AQ38)</f>
        <v>6782.5</v>
      </c>
      <c r="BD38" s="34">
        <f t="shared" ref="BD38:BD39" si="28">SUM(AR38:AU38)</f>
        <v>7140.7</v>
      </c>
      <c r="BE38" s="35">
        <f t="shared" ref="BE38:BE39" si="29">(BD38-BC38)/ABS(BC38)</f>
        <v>5.2812384813859171E-2</v>
      </c>
      <c r="BF38" s="35">
        <f t="shared" ref="BF38:BF39" si="30">(AU38/AP38)^(1/5)-1</f>
        <v>2.4766727078986417E-2</v>
      </c>
    </row>
    <row r="39" spans="1:65" ht="18" customHeight="1" x14ac:dyDescent="0.3">
      <c r="A39" s="24" t="s">
        <v>43</v>
      </c>
      <c r="B39" s="7" t="s">
        <v>92</v>
      </c>
      <c r="C39" s="34">
        <v>5858.7</v>
      </c>
      <c r="D39" s="34">
        <v>6251.1</v>
      </c>
      <c r="E39" s="34">
        <v>5381.3</v>
      </c>
      <c r="F39" s="34">
        <v>5690.2</v>
      </c>
      <c r="G39" s="34">
        <v>6890.8</v>
      </c>
      <c r="H39" s="34">
        <v>7705.7</v>
      </c>
      <c r="I39" s="34">
        <v>7543.1</v>
      </c>
      <c r="J39" s="34">
        <v>7594.2000000000007</v>
      </c>
      <c r="K39" s="52">
        <v>7755</v>
      </c>
      <c r="N39" s="24" t="s">
        <v>43</v>
      </c>
      <c r="O39" s="7" t="s">
        <v>92</v>
      </c>
      <c r="P39" s="29">
        <v>1444.9</v>
      </c>
      <c r="Q39" s="29">
        <v>1411.5</v>
      </c>
      <c r="R39" s="29">
        <v>1389.5999999999995</v>
      </c>
      <c r="S39" s="29">
        <v>1517.8</v>
      </c>
      <c r="T39" s="29">
        <v>1387.6</v>
      </c>
      <c r="U39" s="29">
        <v>1480.6</v>
      </c>
      <c r="V39" s="29">
        <v>1865.1000000000004</v>
      </c>
      <c r="W39" s="29">
        <v>1554.8</v>
      </c>
      <c r="X39" s="29">
        <v>1496.1</v>
      </c>
      <c r="Y39" s="29">
        <v>964.1</v>
      </c>
      <c r="Z39" s="29">
        <v>1366.3000000000006</v>
      </c>
      <c r="AA39" s="29">
        <v>1356.7</v>
      </c>
      <c r="AB39" s="29">
        <v>1323.8</v>
      </c>
      <c r="AC39" s="29">
        <v>1432.2</v>
      </c>
      <c r="AD39" s="29">
        <v>1577.5</v>
      </c>
      <c r="AE39" s="29">
        <v>1717.4</v>
      </c>
      <c r="AF39" s="29">
        <v>1672.3</v>
      </c>
      <c r="AG39" s="29">
        <v>1733.5</v>
      </c>
      <c r="AH39" s="29">
        <v>1767.6000000000004</v>
      </c>
      <c r="AI39" s="29">
        <v>1975</v>
      </c>
      <c r="AJ39" s="29">
        <v>1902</v>
      </c>
      <c r="AK39" s="29">
        <v>1875.9</v>
      </c>
      <c r="AL39" s="26">
        <v>1952.8000000000002</v>
      </c>
      <c r="AM39" s="29">
        <v>1972.3</v>
      </c>
      <c r="AN39" s="29">
        <v>1819.4</v>
      </c>
      <c r="AO39" s="29">
        <v>1841.4</v>
      </c>
      <c r="AP39" s="26">
        <v>1910</v>
      </c>
      <c r="AQ39" s="29">
        <v>1930</v>
      </c>
      <c r="AR39" s="29">
        <v>1776.1</v>
      </c>
      <c r="AS39" s="29">
        <v>1916.5</v>
      </c>
      <c r="AT39" s="26">
        <v>1972.1</v>
      </c>
      <c r="AU39" s="29">
        <v>2089.6999999999998</v>
      </c>
      <c r="AV39" s="26"/>
      <c r="AW39" s="32" t="s">
        <v>92</v>
      </c>
      <c r="AX39" s="33"/>
      <c r="AY39" s="33"/>
      <c r="AZ39" s="33"/>
      <c r="BB39" s="32" t="s">
        <v>93</v>
      </c>
      <c r="BC39" s="34">
        <f t="shared" si="27"/>
        <v>7500.8</v>
      </c>
      <c r="BD39" s="34">
        <f t="shared" si="28"/>
        <v>7754.4</v>
      </c>
      <c r="BE39" s="35">
        <f t="shared" si="29"/>
        <v>3.3809726962457265E-2</v>
      </c>
      <c r="BF39" s="35">
        <f t="shared" si="30"/>
        <v>1.8146130604321797E-2</v>
      </c>
    </row>
    <row r="40" spans="1:65" ht="18" customHeight="1" thickBot="1" x14ac:dyDescent="0.35">
      <c r="A40" s="24"/>
      <c r="B40" s="16" t="s">
        <v>77</v>
      </c>
      <c r="C40" s="53">
        <f>SUM(C37:C39)</f>
        <v>24719.5</v>
      </c>
      <c r="D40" s="53">
        <f>SUM(D37:D39)</f>
        <v>26508.6</v>
      </c>
      <c r="E40" s="53">
        <f t="shared" ref="E40:J40" si="31">SUM(E37:E39)</f>
        <v>23518</v>
      </c>
      <c r="F40" s="53">
        <f t="shared" si="31"/>
        <v>29060.600000000002</v>
      </c>
      <c r="G40" s="53">
        <f t="shared" si="31"/>
        <v>32250.3</v>
      </c>
      <c r="H40" s="53">
        <f t="shared" si="31"/>
        <v>35975.599999999999</v>
      </c>
      <c r="I40" s="53">
        <f t="shared" si="31"/>
        <v>36176.200000000004</v>
      </c>
      <c r="J40" s="53">
        <f t="shared" si="31"/>
        <v>37184</v>
      </c>
      <c r="K40" s="53">
        <f>SUM(K37:K39)</f>
        <v>37701.800000000003</v>
      </c>
      <c r="N40" s="24"/>
      <c r="O40" s="16" t="s">
        <v>77</v>
      </c>
      <c r="P40" s="54">
        <f t="shared" ref="P40:AU40" si="32">SUM(P37:P39)</f>
        <v>6031.7999999999993</v>
      </c>
      <c r="Q40" s="54">
        <f t="shared" si="32"/>
        <v>6310.2999999999993</v>
      </c>
      <c r="R40" s="54">
        <f t="shared" si="32"/>
        <v>6302.9999999999991</v>
      </c>
      <c r="S40" s="54">
        <f t="shared" si="32"/>
        <v>6632.7</v>
      </c>
      <c r="T40" s="54">
        <f t="shared" si="32"/>
        <v>6305.9</v>
      </c>
      <c r="U40" s="54">
        <f t="shared" si="32"/>
        <v>6823</v>
      </c>
      <c r="V40" s="54">
        <f t="shared" si="32"/>
        <v>6747.0000000000009</v>
      </c>
      <c r="W40" s="54">
        <f t="shared" si="32"/>
        <v>7097.0999999999995</v>
      </c>
      <c r="X40" s="54">
        <f t="shared" si="32"/>
        <v>5995.7000000000007</v>
      </c>
      <c r="Y40" s="54">
        <f t="shared" si="32"/>
        <v>4222.1000000000004</v>
      </c>
      <c r="Z40" s="54">
        <f t="shared" si="32"/>
        <v>6203.1000000000022</v>
      </c>
      <c r="AA40" s="54">
        <f t="shared" si="32"/>
        <v>6749.4</v>
      </c>
      <c r="AB40" s="54">
        <f t="shared" si="32"/>
        <v>6668.0000000000009</v>
      </c>
      <c r="AC40" s="54">
        <f t="shared" si="32"/>
        <v>7496.5</v>
      </c>
      <c r="AD40" s="54">
        <f t="shared" si="32"/>
        <v>8146.6999999999989</v>
      </c>
      <c r="AE40" s="54">
        <f t="shared" si="32"/>
        <v>8050.4</v>
      </c>
      <c r="AF40" s="54">
        <f t="shared" si="32"/>
        <v>7635.6</v>
      </c>
      <c r="AG40" s="54">
        <f t="shared" si="32"/>
        <v>8150.1</v>
      </c>
      <c r="AH40" s="54">
        <f t="shared" si="32"/>
        <v>8414.2000000000007</v>
      </c>
      <c r="AI40" s="54">
        <f t="shared" si="32"/>
        <v>8713.9</v>
      </c>
      <c r="AJ40" s="54">
        <f t="shared" si="32"/>
        <v>8719.7999999999993</v>
      </c>
      <c r="AK40" s="54">
        <f t="shared" si="32"/>
        <v>9168.2999999999993</v>
      </c>
      <c r="AL40" s="54">
        <f t="shared" si="32"/>
        <v>9373.6</v>
      </c>
      <c r="AM40" s="54">
        <f t="shared" si="32"/>
        <v>9425.2999999999993</v>
      </c>
      <c r="AN40" s="54">
        <f t="shared" si="32"/>
        <v>8563</v>
      </c>
      <c r="AO40" s="54">
        <f t="shared" si="32"/>
        <v>9113.9</v>
      </c>
      <c r="AP40" s="54">
        <f t="shared" si="32"/>
        <v>9074</v>
      </c>
      <c r="AQ40" s="54">
        <f t="shared" si="32"/>
        <v>9398.4</v>
      </c>
      <c r="AR40" s="54">
        <f t="shared" si="32"/>
        <v>8761.6</v>
      </c>
      <c r="AS40" s="54">
        <f t="shared" si="32"/>
        <v>9456</v>
      </c>
      <c r="AT40" s="54">
        <f t="shared" si="32"/>
        <v>9568.5000000000018</v>
      </c>
      <c r="AU40" s="54">
        <f t="shared" si="32"/>
        <v>9915.0999999999985</v>
      </c>
      <c r="AV40" s="33"/>
      <c r="AW40" s="6" t="s">
        <v>77</v>
      </c>
      <c r="AX40" s="33"/>
      <c r="AY40" s="33"/>
      <c r="AZ40" s="33"/>
      <c r="BB40" s="33"/>
      <c r="BC40" s="33"/>
      <c r="BD40" s="33"/>
      <c r="BE40" s="2"/>
      <c r="BF40" s="2"/>
    </row>
    <row r="41" spans="1:65" ht="18" customHeight="1" thickTop="1" x14ac:dyDescent="0.3">
      <c r="A41" s="24" t="s">
        <v>94</v>
      </c>
      <c r="B41" s="55" t="s">
        <v>95</v>
      </c>
      <c r="C41" s="7"/>
      <c r="D41" s="7"/>
      <c r="E41" s="7"/>
      <c r="F41" s="7"/>
      <c r="G41" s="7"/>
      <c r="H41" s="7"/>
      <c r="I41" s="7"/>
      <c r="N41" s="24" t="s">
        <v>94</v>
      </c>
      <c r="O41" s="55" t="s">
        <v>95</v>
      </c>
      <c r="P41" s="29"/>
      <c r="Q41" s="29"/>
      <c r="R41" s="29"/>
      <c r="S41" s="29"/>
      <c r="T41" s="29"/>
      <c r="U41" s="29"/>
      <c r="V41" s="29"/>
      <c r="W41" s="29"/>
      <c r="X41" s="29"/>
      <c r="Y41" s="29"/>
      <c r="Z41" s="29"/>
      <c r="AA41" s="29"/>
      <c r="AB41" s="7"/>
      <c r="AC41" s="7"/>
      <c r="AD41" s="55"/>
      <c r="AE41" s="7"/>
      <c r="AF41" s="29"/>
      <c r="AG41" s="29"/>
      <c r="AH41" s="29"/>
      <c r="AI41" s="29"/>
      <c r="AJ41" s="29"/>
      <c r="AK41" s="29"/>
      <c r="AL41" s="29"/>
      <c r="AM41" s="29"/>
      <c r="AN41" s="29"/>
      <c r="AO41" s="29"/>
      <c r="AP41" s="29"/>
      <c r="AQ41" s="29"/>
      <c r="AR41" s="29"/>
      <c r="AS41" s="29"/>
      <c r="AT41" s="29"/>
      <c r="AU41" s="29"/>
      <c r="AV41" s="29"/>
      <c r="AW41" s="60"/>
      <c r="AX41" s="33"/>
      <c r="AY41"/>
      <c r="AZ41"/>
      <c r="BB41"/>
      <c r="BC41"/>
      <c r="BD41"/>
    </row>
    <row r="42" spans="1:65" ht="18" customHeight="1" x14ac:dyDescent="0.3">
      <c r="B42" s="7" t="s">
        <v>96</v>
      </c>
      <c r="O42" s="7" t="s">
        <v>96</v>
      </c>
      <c r="AD42" s="7"/>
      <c r="AI42"/>
      <c r="AJ42"/>
      <c r="AK42"/>
      <c r="AL42" s="58"/>
      <c r="AM42"/>
      <c r="AN42"/>
      <c r="AO42"/>
      <c r="AP42"/>
      <c r="AQ42"/>
      <c r="AR42"/>
      <c r="AS42"/>
      <c r="AT42"/>
      <c r="AU42" s="58"/>
      <c r="AV42" s="58"/>
      <c r="AW42" s="51"/>
      <c r="AX42"/>
      <c r="AY42"/>
      <c r="AZ42"/>
      <c r="BB42"/>
      <c r="BC42"/>
      <c r="BD42"/>
    </row>
    <row r="43" spans="1:65" ht="18" customHeight="1" x14ac:dyDescent="0.3">
      <c r="B43" s="7" t="s">
        <v>97</v>
      </c>
      <c r="O43" s="7" t="s">
        <v>97</v>
      </c>
      <c r="AD43" s="7"/>
      <c r="AI43"/>
      <c r="AJ43"/>
      <c r="AK43"/>
      <c r="AL43"/>
      <c r="AM43"/>
      <c r="AN43"/>
      <c r="AO43"/>
      <c r="AP43"/>
      <c r="AQ43"/>
      <c r="AR43"/>
      <c r="AS43"/>
      <c r="AT43"/>
      <c r="AU43"/>
      <c r="AV43"/>
      <c r="AW43" s="51"/>
      <c r="AX43"/>
      <c r="AY43"/>
      <c r="AZ43"/>
      <c r="BB43"/>
      <c r="BC43"/>
      <c r="BD43"/>
    </row>
    <row r="44" spans="1:65" x14ac:dyDescent="0.3">
      <c r="AI44"/>
      <c r="AJ44"/>
      <c r="AK44"/>
      <c r="AL44"/>
      <c r="AM44"/>
      <c r="AN44"/>
      <c r="AO44"/>
      <c r="AP44"/>
      <c r="AQ44"/>
      <c r="AR44"/>
      <c r="AS44"/>
      <c r="AT44"/>
      <c r="AU44"/>
      <c r="AV44"/>
      <c r="AW44" s="51"/>
      <c r="AX44"/>
      <c r="AY44"/>
      <c r="AZ44"/>
      <c r="BB44"/>
      <c r="BC44"/>
      <c r="BD44"/>
    </row>
    <row r="45" spans="1:65" x14ac:dyDescent="0.3">
      <c r="Y45" s="61"/>
      <c r="Z45" s="61"/>
      <c r="AA45" s="61"/>
      <c r="AB45" s="61"/>
      <c r="AC45" s="61"/>
      <c r="AD45" s="61"/>
      <c r="AE45" s="61"/>
      <c r="AI45"/>
      <c r="AJ45"/>
      <c r="AK45"/>
      <c r="AL45"/>
      <c r="AM45"/>
      <c r="AN45"/>
      <c r="AO45"/>
      <c r="AP45"/>
      <c r="AQ45"/>
      <c r="AR45"/>
      <c r="AS45"/>
      <c r="AT45"/>
      <c r="AU45"/>
      <c r="AV45"/>
      <c r="AW45" s="51"/>
      <c r="AX45"/>
      <c r="AY45"/>
      <c r="AZ45"/>
      <c r="BB45"/>
      <c r="BC45"/>
      <c r="BD45"/>
    </row>
    <row r="46" spans="1:65" s="7" customFormat="1" ht="18" customHeight="1" x14ac:dyDescent="0.3">
      <c r="A46" s="6" t="s">
        <v>98</v>
      </c>
      <c r="C46" s="8">
        <v>2018</v>
      </c>
      <c r="D46" s="8">
        <v>2019</v>
      </c>
      <c r="E46" s="8">
        <v>2020</v>
      </c>
      <c r="F46" s="9">
        <v>2021</v>
      </c>
      <c r="G46" s="10">
        <v>2022</v>
      </c>
      <c r="H46" s="11">
        <v>2023</v>
      </c>
      <c r="I46" s="12">
        <v>2024</v>
      </c>
      <c r="J46" s="13">
        <v>2025</v>
      </c>
      <c r="K46" s="15" t="s">
        <v>99</v>
      </c>
      <c r="L46" s="15"/>
      <c r="M46" s="15"/>
      <c r="N46" s="8" t="s">
        <v>98</v>
      </c>
      <c r="P46" s="16" t="s">
        <v>7</v>
      </c>
      <c r="Q46" s="16" t="s">
        <v>8</v>
      </c>
      <c r="R46" s="16" t="s">
        <v>9</v>
      </c>
      <c r="S46" s="17" t="s">
        <v>100</v>
      </c>
      <c r="T46" s="16" t="s">
        <v>11</v>
      </c>
      <c r="U46" s="16" t="s">
        <v>12</v>
      </c>
      <c r="V46" s="16" t="s">
        <v>101</v>
      </c>
      <c r="W46" s="17" t="s">
        <v>102</v>
      </c>
      <c r="X46" s="16" t="s">
        <v>103</v>
      </c>
      <c r="Y46" s="16" t="s">
        <v>104</v>
      </c>
      <c r="Z46" s="16" t="s">
        <v>105</v>
      </c>
      <c r="AA46" s="17" t="s">
        <v>106</v>
      </c>
      <c r="AB46" s="16" t="s">
        <v>107</v>
      </c>
      <c r="AC46" s="16" t="s">
        <v>108</v>
      </c>
      <c r="AD46" s="16" t="s">
        <v>109</v>
      </c>
      <c r="AE46" s="17" t="s">
        <v>110</v>
      </c>
      <c r="AF46" s="16" t="s">
        <v>111</v>
      </c>
      <c r="AG46" s="16" t="s">
        <v>112</v>
      </c>
      <c r="AH46" s="16" t="s">
        <v>113</v>
      </c>
      <c r="AI46" s="17" t="s">
        <v>114</v>
      </c>
      <c r="AJ46" s="16" t="s">
        <v>115</v>
      </c>
      <c r="AK46" s="16" t="s">
        <v>116</v>
      </c>
      <c r="AL46" s="16" t="s">
        <v>117</v>
      </c>
      <c r="AM46" s="17" t="s">
        <v>30</v>
      </c>
      <c r="AN46" s="16" t="s">
        <v>31</v>
      </c>
      <c r="AO46" s="16" t="s">
        <v>32</v>
      </c>
      <c r="AP46" s="16" t="s">
        <v>118</v>
      </c>
      <c r="AQ46" s="17" t="s">
        <v>119</v>
      </c>
      <c r="AR46" s="16" t="s">
        <v>120</v>
      </c>
      <c r="AS46" s="16" t="s">
        <v>121</v>
      </c>
      <c r="AT46" s="16" t="s">
        <v>118</v>
      </c>
      <c r="AU46" s="17" t="s">
        <v>122</v>
      </c>
      <c r="AV46" s="16"/>
      <c r="BB46" s="8"/>
      <c r="BC46" s="20" t="s">
        <v>123</v>
      </c>
      <c r="BD46" s="20" t="s">
        <v>39</v>
      </c>
      <c r="BE46" s="20" t="s">
        <v>41</v>
      </c>
      <c r="BF46" s="20" t="s">
        <v>42</v>
      </c>
      <c r="BI46" s="21"/>
      <c r="BK46" s="22"/>
      <c r="BM46" s="23"/>
    </row>
    <row r="47" spans="1:65" s="7" customFormat="1" ht="18" customHeight="1" x14ac:dyDescent="0.3">
      <c r="A47" s="24" t="s">
        <v>43</v>
      </c>
      <c r="B47" s="7" t="s">
        <v>44</v>
      </c>
      <c r="C47" s="36">
        <v>21025</v>
      </c>
      <c r="D47" s="36">
        <v>21077</v>
      </c>
      <c r="E47" s="36">
        <v>19207</v>
      </c>
      <c r="F47" s="36">
        <v>23223</v>
      </c>
      <c r="G47" s="36">
        <v>23182.6</v>
      </c>
      <c r="H47" s="36">
        <v>25493.7</v>
      </c>
      <c r="I47" s="36">
        <v>25921</v>
      </c>
      <c r="J47" s="27">
        <v>26886</v>
      </c>
      <c r="K47" s="36"/>
      <c r="L47" s="26"/>
      <c r="M47" s="26"/>
      <c r="N47" s="24" t="s">
        <v>43</v>
      </c>
      <c r="O47" s="7" t="s">
        <v>44</v>
      </c>
      <c r="P47" s="30">
        <v>5139</v>
      </c>
      <c r="Q47" s="30">
        <v>5354</v>
      </c>
      <c r="R47" s="30">
        <v>5369</v>
      </c>
      <c r="S47" s="30">
        <v>5163</v>
      </c>
      <c r="T47" s="30">
        <v>4955.6000000000004</v>
      </c>
      <c r="U47" s="30">
        <v>5341.3</v>
      </c>
      <c r="V47" s="30">
        <v>5430.6</v>
      </c>
      <c r="W47" s="30">
        <v>5349</v>
      </c>
      <c r="X47" s="30">
        <v>4714.3999999999996</v>
      </c>
      <c r="Y47" s="30">
        <v>3761.5</v>
      </c>
      <c r="Z47" s="30">
        <v>5418.1</v>
      </c>
      <c r="AA47" s="30">
        <v>5313.8</v>
      </c>
      <c r="AB47" s="30">
        <v>5124.6000000000004</v>
      </c>
      <c r="AC47" s="30">
        <v>5887.9</v>
      </c>
      <c r="AD47" s="30">
        <v>6201.3</v>
      </c>
      <c r="AE47" s="30">
        <v>6009.1</v>
      </c>
      <c r="AF47" s="30">
        <v>5665.6</v>
      </c>
      <c r="AG47" s="30">
        <v>5718.4</v>
      </c>
      <c r="AH47" s="30">
        <v>5872.1</v>
      </c>
      <c r="AI47" s="30">
        <v>5926.5</v>
      </c>
      <c r="AJ47" s="30">
        <v>5897.8</v>
      </c>
      <c r="AK47" s="30">
        <v>6497.5</v>
      </c>
      <c r="AL47" s="30">
        <v>6692.2</v>
      </c>
      <c r="AM47" s="30">
        <v>6406.2</v>
      </c>
      <c r="AN47" s="30">
        <v>6169</v>
      </c>
      <c r="AO47" s="30">
        <v>6490</v>
      </c>
      <c r="AP47" s="30">
        <v>6874</v>
      </c>
      <c r="AQ47" s="30">
        <v>6388</v>
      </c>
      <c r="AR47" s="30">
        <v>5956</v>
      </c>
      <c r="AS47" s="30">
        <v>6843</v>
      </c>
      <c r="AT47" s="30">
        <v>7078</v>
      </c>
      <c r="AU47" s="30">
        <v>7009</v>
      </c>
      <c r="AV47" s="30"/>
      <c r="AW47" s="7" t="s">
        <v>44</v>
      </c>
      <c r="AX47" s="32" t="s">
        <v>43</v>
      </c>
      <c r="BB47" s="32" t="s">
        <v>124</v>
      </c>
      <c r="BC47" s="34">
        <f t="shared" ref="BC47" si="33">SUM(AN47:AQ47)</f>
        <v>25921</v>
      </c>
      <c r="BD47" s="34">
        <f t="shared" ref="BD47" si="34">SUM(AR47:AU47)</f>
        <v>26886</v>
      </c>
      <c r="BE47" s="35">
        <f t="shared" ref="BE47" si="35">(BD47-BC47)/ABS(BC47)</f>
        <v>3.7228501986806065E-2</v>
      </c>
      <c r="BF47" s="35">
        <f t="shared" ref="BF47" si="36">(AU47/AP47)^(1/5)-1</f>
        <v>3.8973467989722455E-3</v>
      </c>
      <c r="BI47" s="21"/>
      <c r="BM47" s="23"/>
    </row>
    <row r="48" spans="1:65" s="7" customFormat="1" ht="18" customHeight="1" x14ac:dyDescent="0.3">
      <c r="A48" s="24" t="s">
        <v>43</v>
      </c>
      <c r="B48" s="7" t="s">
        <v>46</v>
      </c>
      <c r="C48" s="25">
        <v>10785.825000000001</v>
      </c>
      <c r="D48" s="25">
        <v>11116.0098</v>
      </c>
      <c r="E48" s="25">
        <v>9757</v>
      </c>
      <c r="F48" s="25">
        <v>12586.866</v>
      </c>
      <c r="G48" s="62">
        <v>13207.199999999999</v>
      </c>
      <c r="H48" s="62">
        <v>14562.5</v>
      </c>
      <c r="I48" s="36">
        <v>14711</v>
      </c>
      <c r="J48" s="27">
        <v>15436</v>
      </c>
      <c r="K48" s="36"/>
      <c r="L48" s="26"/>
      <c r="M48" s="26"/>
      <c r="N48" s="24" t="s">
        <v>43</v>
      </c>
      <c r="O48" s="7" t="s">
        <v>46</v>
      </c>
      <c r="P48" s="30">
        <v>2524</v>
      </c>
      <c r="Q48" s="30">
        <v>2740</v>
      </c>
      <c r="R48" s="30">
        <v>2822</v>
      </c>
      <c r="S48" s="30">
        <v>2700</v>
      </c>
      <c r="T48" s="36">
        <v>2536.3000000000002</v>
      </c>
      <c r="U48" s="36">
        <v>2829.5</v>
      </c>
      <c r="V48" s="36">
        <v>2903.4</v>
      </c>
      <c r="W48" s="36">
        <v>2846.1</v>
      </c>
      <c r="X48" s="36">
        <v>2341.9</v>
      </c>
      <c r="Y48" s="36">
        <v>1725.3</v>
      </c>
      <c r="Z48" s="36">
        <v>2904.7</v>
      </c>
      <c r="AA48" s="36">
        <v>2780.2</v>
      </c>
      <c r="AB48" s="36">
        <v>2668.3</v>
      </c>
      <c r="AC48" s="36">
        <v>3219.5</v>
      </c>
      <c r="AD48" s="36">
        <v>3431.4</v>
      </c>
      <c r="AE48" s="36">
        <v>3261</v>
      </c>
      <c r="AF48" s="36">
        <v>3050.1</v>
      </c>
      <c r="AG48" s="36">
        <v>3302.1</v>
      </c>
      <c r="AH48" s="36">
        <v>3446.1</v>
      </c>
      <c r="AI48" s="36">
        <v>3408.9</v>
      </c>
      <c r="AJ48" s="36">
        <v>3313.6</v>
      </c>
      <c r="AK48" s="36">
        <v>3731</v>
      </c>
      <c r="AL48" s="36">
        <v>3863.7</v>
      </c>
      <c r="AM48" s="36">
        <v>3654.2</v>
      </c>
      <c r="AN48" s="36">
        <v>3439</v>
      </c>
      <c r="AO48" s="36">
        <v>3718</v>
      </c>
      <c r="AP48" s="36">
        <v>3876</v>
      </c>
      <c r="AQ48" s="36">
        <v>3678</v>
      </c>
      <c r="AR48" s="36">
        <v>3337</v>
      </c>
      <c r="AS48" s="36">
        <v>3962</v>
      </c>
      <c r="AT48" s="36">
        <v>4105</v>
      </c>
      <c r="AU48" s="36">
        <v>4032</v>
      </c>
      <c r="AV48" s="36"/>
      <c r="AW48" s="7" t="s">
        <v>46</v>
      </c>
      <c r="AX48" s="32" t="s">
        <v>43</v>
      </c>
      <c r="BI48" s="21"/>
      <c r="BM48" s="23"/>
    </row>
    <row r="49" spans="1:74" s="7" customFormat="1" ht="18" customHeight="1" x14ac:dyDescent="0.3">
      <c r="A49" s="24" t="s">
        <v>43</v>
      </c>
      <c r="B49" s="7" t="s">
        <v>47</v>
      </c>
      <c r="C49" s="36">
        <v>8823</v>
      </c>
      <c r="D49" s="36">
        <v>8885</v>
      </c>
      <c r="E49" s="36">
        <v>7324</v>
      </c>
      <c r="F49" s="36">
        <v>9873</v>
      </c>
      <c r="G49" s="36">
        <v>9385.5</v>
      </c>
      <c r="H49" s="36">
        <v>11745.599999999999</v>
      </c>
      <c r="I49" s="27">
        <v>11853</v>
      </c>
      <c r="J49" s="27">
        <v>12425</v>
      </c>
      <c r="K49" s="36"/>
      <c r="L49" s="26"/>
      <c r="M49" s="26"/>
      <c r="N49" s="24" t="s">
        <v>43</v>
      </c>
      <c r="O49" s="7" t="s">
        <v>47</v>
      </c>
      <c r="P49" s="30">
        <v>2143</v>
      </c>
      <c r="Q49" s="30">
        <v>2262</v>
      </c>
      <c r="R49" s="30">
        <v>2418</v>
      </c>
      <c r="S49" s="30">
        <v>1999.5</v>
      </c>
      <c r="T49" s="30">
        <v>2094</v>
      </c>
      <c r="U49" s="30">
        <v>2273.9</v>
      </c>
      <c r="V49" s="30">
        <v>2409.3000000000002</v>
      </c>
      <c r="W49" s="30">
        <v>2292.6</v>
      </c>
      <c r="X49" s="30">
        <v>1693.6</v>
      </c>
      <c r="Y49" s="30">
        <v>961.1</v>
      </c>
      <c r="Z49" s="30">
        <v>2526.4</v>
      </c>
      <c r="AA49" s="30">
        <v>2142.9</v>
      </c>
      <c r="AB49" s="30">
        <v>2281.3000000000002</v>
      </c>
      <c r="AC49" s="30">
        <v>2691.1</v>
      </c>
      <c r="AD49" s="30">
        <v>2986.5</v>
      </c>
      <c r="AE49" s="30">
        <v>2397.1</v>
      </c>
      <c r="AF49" s="30">
        <v>2312.6</v>
      </c>
      <c r="AG49" s="30">
        <v>1711.8</v>
      </c>
      <c r="AH49" s="30">
        <v>2763.9</v>
      </c>
      <c r="AI49" s="30">
        <v>2597.1999999999998</v>
      </c>
      <c r="AJ49" s="30">
        <v>2661</v>
      </c>
      <c r="AK49" s="30">
        <v>3068.3</v>
      </c>
      <c r="AL49" s="30">
        <v>3183.5</v>
      </c>
      <c r="AM49" s="30">
        <v>2832.8</v>
      </c>
      <c r="AN49" s="30">
        <v>2718</v>
      </c>
      <c r="AO49" s="30">
        <v>3028</v>
      </c>
      <c r="AP49" s="30">
        <v>3229</v>
      </c>
      <c r="AQ49" s="30">
        <v>2878</v>
      </c>
      <c r="AR49" s="30">
        <v>2714</v>
      </c>
      <c r="AS49" s="30">
        <v>3232</v>
      </c>
      <c r="AT49" s="30">
        <v>3320</v>
      </c>
      <c r="AU49" s="30">
        <v>3159</v>
      </c>
      <c r="AV49" s="30"/>
      <c r="AW49" s="7" t="s">
        <v>47</v>
      </c>
      <c r="AX49" s="32" t="s">
        <v>43</v>
      </c>
      <c r="BI49" s="21"/>
      <c r="BM49" s="23"/>
    </row>
    <row r="50" spans="1:74" s="7" customFormat="1" ht="18" customHeight="1" x14ac:dyDescent="0.3">
      <c r="A50" s="24" t="s">
        <v>43</v>
      </c>
      <c r="B50" s="7" t="s">
        <v>48</v>
      </c>
      <c r="C50" s="36">
        <v>5924</v>
      </c>
      <c r="D50" s="36">
        <v>6025</v>
      </c>
      <c r="E50" s="36">
        <v>4730.5</v>
      </c>
      <c r="F50" s="36">
        <v>7545</v>
      </c>
      <c r="G50" s="36">
        <v>6177.4</v>
      </c>
      <c r="H50" s="36">
        <v>8468.7999999999993</v>
      </c>
      <c r="I50" s="27">
        <v>8223</v>
      </c>
      <c r="J50" s="27">
        <v>8563</v>
      </c>
      <c r="K50" s="36"/>
      <c r="L50" s="26"/>
      <c r="M50" s="26"/>
      <c r="N50" s="24" t="s">
        <v>43</v>
      </c>
      <c r="O50" s="7" t="s">
        <v>48</v>
      </c>
      <c r="P50" s="30">
        <v>1376</v>
      </c>
      <c r="Q50" s="30">
        <v>1496</v>
      </c>
      <c r="R50" s="30">
        <v>1637</v>
      </c>
      <c r="S50" s="30">
        <v>1415.3</v>
      </c>
      <c r="T50" s="30">
        <v>1328.4</v>
      </c>
      <c r="U50" s="30">
        <v>1516.9</v>
      </c>
      <c r="V50" s="30">
        <v>1607.9</v>
      </c>
      <c r="W50" s="30">
        <v>1572.2</v>
      </c>
      <c r="X50" s="30">
        <v>1106.9000000000001</v>
      </c>
      <c r="Y50" s="30">
        <v>483.8</v>
      </c>
      <c r="Z50" s="30">
        <v>1762.6</v>
      </c>
      <c r="AA50" s="30">
        <v>1377.2</v>
      </c>
      <c r="AB50" s="30">
        <v>1537.2</v>
      </c>
      <c r="AC50" s="30">
        <v>2219.3000000000002</v>
      </c>
      <c r="AD50" s="30">
        <v>2149.9</v>
      </c>
      <c r="AE50" s="30">
        <v>1638.8</v>
      </c>
      <c r="AF50" s="30">
        <v>1104.4000000000001</v>
      </c>
      <c r="AG50" s="30">
        <v>1188</v>
      </c>
      <c r="AH50" s="30">
        <v>1981.6</v>
      </c>
      <c r="AI50" s="30">
        <v>1903.4</v>
      </c>
      <c r="AJ50" s="30">
        <v>1802.3</v>
      </c>
      <c r="AK50" s="30">
        <v>2310.4</v>
      </c>
      <c r="AL50" s="30">
        <v>2317.1</v>
      </c>
      <c r="AM50" s="30">
        <v>2039</v>
      </c>
      <c r="AN50" s="30">
        <v>1929</v>
      </c>
      <c r="AO50" s="30">
        <v>2022</v>
      </c>
      <c r="AP50" s="30">
        <v>2255</v>
      </c>
      <c r="AQ50" s="30">
        <v>2017</v>
      </c>
      <c r="AR50" s="30">
        <v>1868</v>
      </c>
      <c r="AS50" s="30">
        <v>2253</v>
      </c>
      <c r="AT50" s="30">
        <v>2278</v>
      </c>
      <c r="AU50" s="30">
        <v>2164</v>
      </c>
      <c r="AV50" s="30"/>
      <c r="AW50" s="7" t="s">
        <v>48</v>
      </c>
      <c r="AX50" s="32" t="s">
        <v>43</v>
      </c>
      <c r="BI50" s="21"/>
      <c r="BM50" s="23"/>
    </row>
    <row r="51" spans="1:74" s="7" customFormat="1" ht="18" customHeight="1" x14ac:dyDescent="0.3">
      <c r="A51" s="24" t="s">
        <v>43</v>
      </c>
      <c r="B51" s="39" t="s">
        <v>49</v>
      </c>
      <c r="C51" s="50">
        <v>6966</v>
      </c>
      <c r="D51" s="50">
        <v>8122</v>
      </c>
      <c r="E51" s="50">
        <v>6265.2</v>
      </c>
      <c r="F51" s="50">
        <v>9142</v>
      </c>
      <c r="G51" s="40">
        <v>7386.7</v>
      </c>
      <c r="H51" s="40">
        <v>9611.9</v>
      </c>
      <c r="I51" s="34">
        <v>9447</v>
      </c>
      <c r="J51" s="40">
        <v>10551</v>
      </c>
      <c r="K51" s="40"/>
      <c r="L51" s="40"/>
      <c r="M51" s="40"/>
      <c r="N51" s="24" t="s">
        <v>50</v>
      </c>
      <c r="O51" s="7" t="s">
        <v>51</v>
      </c>
      <c r="P51" s="35">
        <f t="shared" ref="P51:R51" si="37">P50/P47</f>
        <v>0.26775637283518194</v>
      </c>
      <c r="Q51" s="35">
        <f t="shared" si="37"/>
        <v>0.27941725812476653</v>
      </c>
      <c r="R51" s="35">
        <f t="shared" si="37"/>
        <v>0.3048984913391693</v>
      </c>
      <c r="S51" s="35">
        <f>S50/S47</f>
        <v>0.27412357156691847</v>
      </c>
      <c r="T51" s="35">
        <f>T50/T47</f>
        <v>0.26806037614012429</v>
      </c>
      <c r="U51" s="35">
        <f>U50/U47</f>
        <v>0.2839945331660832</v>
      </c>
      <c r="V51" s="35">
        <f>V50/V47</f>
        <v>0.29608146429492138</v>
      </c>
      <c r="W51" s="35">
        <f>W50/W47</f>
        <v>0.29392409796223595</v>
      </c>
      <c r="X51" s="35">
        <f t="shared" ref="X51:AU51" si="38">X50/X47</f>
        <v>0.23479127778720518</v>
      </c>
      <c r="Y51" s="35">
        <f t="shared" si="38"/>
        <v>0.12861890203376314</v>
      </c>
      <c r="Z51" s="35">
        <f t="shared" si="38"/>
        <v>0.3253169930418412</v>
      </c>
      <c r="AA51" s="35">
        <f t="shared" si="38"/>
        <v>0.25917422560126463</v>
      </c>
      <c r="AB51" s="35">
        <f t="shared" si="38"/>
        <v>0.29996487530734106</v>
      </c>
      <c r="AC51" s="35">
        <f t="shared" si="38"/>
        <v>0.37692555919767662</v>
      </c>
      <c r="AD51" s="35">
        <f t="shared" si="38"/>
        <v>0.34668537242191155</v>
      </c>
      <c r="AE51" s="35">
        <f t="shared" si="38"/>
        <v>0.27271970844219595</v>
      </c>
      <c r="AF51" s="35">
        <f t="shared" si="38"/>
        <v>0.19493081050550692</v>
      </c>
      <c r="AG51" s="35">
        <f t="shared" si="38"/>
        <v>0.20775041969781757</v>
      </c>
      <c r="AH51" s="35">
        <f t="shared" si="38"/>
        <v>0.33746019311660219</v>
      </c>
      <c r="AI51" s="35">
        <f t="shared" si="38"/>
        <v>0.32116763688517674</v>
      </c>
      <c r="AJ51" s="35">
        <f t="shared" si="38"/>
        <v>0.30558852453457219</v>
      </c>
      <c r="AK51" s="35">
        <f t="shared" si="38"/>
        <v>0.3555829165063486</v>
      </c>
      <c r="AL51" s="35">
        <f t="shared" si="38"/>
        <v>0.34623890499387344</v>
      </c>
      <c r="AM51" s="35">
        <f t="shared" si="38"/>
        <v>0.31828541100808594</v>
      </c>
      <c r="AN51" s="35">
        <f t="shared" si="38"/>
        <v>0.31269249473172311</v>
      </c>
      <c r="AO51" s="35">
        <f t="shared" si="38"/>
        <v>0.31155624036979968</v>
      </c>
      <c r="AP51" s="35">
        <f t="shared" si="38"/>
        <v>0.32804771603142274</v>
      </c>
      <c r="AQ51" s="35">
        <f t="shared" si="38"/>
        <v>0.31574827802128991</v>
      </c>
      <c r="AR51" s="35">
        <f t="shared" si="38"/>
        <v>0.31363331094694424</v>
      </c>
      <c r="AS51" s="35">
        <f t="shared" si="38"/>
        <v>0.32924156071898292</v>
      </c>
      <c r="AT51" s="35">
        <f t="shared" si="38"/>
        <v>0.32184232834133936</v>
      </c>
      <c r="AU51" s="35">
        <f t="shared" si="38"/>
        <v>0.30874589813097447</v>
      </c>
      <c r="AV51" s="35"/>
      <c r="AW51" s="7" t="s">
        <v>51</v>
      </c>
      <c r="AX51" s="32" t="s">
        <v>50</v>
      </c>
      <c r="BI51" s="21"/>
    </row>
    <row r="52" spans="1:74" s="7" customFormat="1" ht="18" customHeight="1" x14ac:dyDescent="0.3">
      <c r="A52" s="24" t="s">
        <v>43</v>
      </c>
      <c r="B52" s="39" t="s">
        <v>52</v>
      </c>
      <c r="C52" s="50">
        <v>4225</v>
      </c>
      <c r="D52" s="50">
        <v>5728</v>
      </c>
      <c r="E52" s="50">
        <v>4626</v>
      </c>
      <c r="F52" s="50">
        <v>7102</v>
      </c>
      <c r="G52" s="40">
        <v>5487.5</v>
      </c>
      <c r="H52" s="40">
        <v>7254.5</v>
      </c>
      <c r="I52" s="34">
        <v>6672</v>
      </c>
      <c r="J52" s="40">
        <v>7186</v>
      </c>
      <c r="K52" s="40"/>
      <c r="L52" s="40"/>
      <c r="M52" s="40"/>
      <c r="N52" s="24" t="s">
        <v>50</v>
      </c>
      <c r="O52" s="7" t="s">
        <v>53</v>
      </c>
      <c r="P52" s="35">
        <f t="shared" ref="P52:R52" si="39">P48/P47</f>
        <v>0.49114613738081336</v>
      </c>
      <c r="Q52" s="35">
        <f t="shared" si="39"/>
        <v>0.51176690324990659</v>
      </c>
      <c r="R52" s="35">
        <f t="shared" si="39"/>
        <v>0.52560998323710184</v>
      </c>
      <c r="S52" s="35">
        <f>S48/S47</f>
        <v>0.52295177222545031</v>
      </c>
      <c r="T52" s="35">
        <f>T48/T47</f>
        <v>0.51180482686253936</v>
      </c>
      <c r="U52" s="35">
        <f>U48/U47</f>
        <v>0.52973995094827098</v>
      </c>
      <c r="V52" s="35">
        <f>V48/V47</f>
        <v>0.53463705667882</v>
      </c>
      <c r="W52" s="35">
        <f>W48/W47</f>
        <v>0.53208076275939431</v>
      </c>
      <c r="X52" s="35">
        <f t="shared" ref="X52:AU52" si="40">X48/X47</f>
        <v>0.49675462413032417</v>
      </c>
      <c r="Y52" s="35">
        <f t="shared" si="40"/>
        <v>0.45867340156852321</v>
      </c>
      <c r="Z52" s="35">
        <f t="shared" si="40"/>
        <v>0.53611044462080792</v>
      </c>
      <c r="AA52" s="35">
        <f t="shared" si="40"/>
        <v>0.52320373367458306</v>
      </c>
      <c r="AB52" s="35">
        <f t="shared" si="40"/>
        <v>0.52068454123248642</v>
      </c>
      <c r="AC52" s="35">
        <f t="shared" si="40"/>
        <v>0.54679936819579145</v>
      </c>
      <c r="AD52" s="35">
        <f t="shared" si="40"/>
        <v>0.55333559092448359</v>
      </c>
      <c r="AE52" s="35">
        <f t="shared" si="40"/>
        <v>0.54267693997437216</v>
      </c>
      <c r="AF52" s="35">
        <f t="shared" si="40"/>
        <v>0.53835427845241457</v>
      </c>
      <c r="AG52" s="35">
        <f t="shared" si="40"/>
        <v>0.57745173475097933</v>
      </c>
      <c r="AH52" s="35">
        <f t="shared" si="40"/>
        <v>0.58685989680012252</v>
      </c>
      <c r="AI52" s="35">
        <f t="shared" si="40"/>
        <v>0.57519615287269044</v>
      </c>
      <c r="AJ52" s="35">
        <f t="shared" si="40"/>
        <v>0.5618366170436434</v>
      </c>
      <c r="AK52" s="35">
        <f t="shared" si="40"/>
        <v>0.5742208541746826</v>
      </c>
      <c r="AL52" s="35">
        <f t="shared" si="40"/>
        <v>0.57734377334807685</v>
      </c>
      <c r="AM52" s="35">
        <f t="shared" si="40"/>
        <v>0.57041615934563394</v>
      </c>
      <c r="AN52" s="35">
        <f t="shared" si="40"/>
        <v>0.55746474307018967</v>
      </c>
      <c r="AO52" s="35">
        <f t="shared" si="40"/>
        <v>0.57288135593220335</v>
      </c>
      <c r="AP52" s="35">
        <f t="shared" si="40"/>
        <v>0.56386383473959845</v>
      </c>
      <c r="AQ52" s="35">
        <f t="shared" si="40"/>
        <v>0.57576706324358173</v>
      </c>
      <c r="AR52" s="35">
        <f t="shared" si="40"/>
        <v>0.56027535258562788</v>
      </c>
      <c r="AS52" s="35">
        <f t="shared" si="40"/>
        <v>0.57898582493058603</v>
      </c>
      <c r="AT52" s="35">
        <f t="shared" si="40"/>
        <v>0.57996609211641703</v>
      </c>
      <c r="AU52" s="35">
        <f t="shared" si="40"/>
        <v>0.57526037951205589</v>
      </c>
      <c r="AV52" s="35"/>
      <c r="AW52" s="7" t="s">
        <v>53</v>
      </c>
      <c r="AX52" s="32" t="s">
        <v>50</v>
      </c>
      <c r="BI52" s="21"/>
    </row>
    <row r="53" spans="1:74" s="7" customFormat="1" ht="18" customHeight="1" x14ac:dyDescent="0.3">
      <c r="A53" s="24" t="s">
        <v>50</v>
      </c>
      <c r="B53" s="7" t="s">
        <v>54</v>
      </c>
      <c r="C53" s="63">
        <v>-7.87</v>
      </c>
      <c r="D53" s="63">
        <v>0.24</v>
      </c>
      <c r="E53" s="64">
        <v>-8.8684347867343583</v>
      </c>
      <c r="F53" s="64">
        <v>20.909043577862239</v>
      </c>
      <c r="G53" s="64">
        <v>-0.17396546527150433</v>
      </c>
      <c r="H53" s="64">
        <v>9.9691147671098257</v>
      </c>
      <c r="I53" s="44">
        <v>1.6761003698953045</v>
      </c>
      <c r="J53" s="45">
        <v>3.7228501986806064</v>
      </c>
      <c r="K53" s="44"/>
      <c r="L53" s="44"/>
      <c r="M53" s="44"/>
      <c r="O53" s="49"/>
      <c r="Q53" s="35"/>
      <c r="R53" s="35"/>
      <c r="S53" s="35"/>
      <c r="T53" s="35"/>
      <c r="U53" s="35"/>
      <c r="BI53" s="21"/>
    </row>
    <row r="54" spans="1:74" s="7" customFormat="1" ht="18" customHeight="1" x14ac:dyDescent="0.3">
      <c r="A54" s="24" t="s">
        <v>50</v>
      </c>
      <c r="B54" s="7" t="s">
        <v>55</v>
      </c>
      <c r="C54" s="63">
        <v>5.16</v>
      </c>
      <c r="D54" s="63">
        <v>3.5</v>
      </c>
      <c r="E54" s="64">
        <v>-17.568936409679235</v>
      </c>
      <c r="F54" s="64">
        <v>34.803386127799016</v>
      </c>
      <c r="G54" s="64">
        <v>-4.9377089030689758</v>
      </c>
      <c r="H54" s="64">
        <v>25.146236215438694</v>
      </c>
      <c r="I54" s="44">
        <v>0.91438496117696388</v>
      </c>
      <c r="J54" s="45">
        <v>4.825782502320088</v>
      </c>
      <c r="K54" s="44"/>
      <c r="L54" s="44"/>
      <c r="M54" s="44"/>
      <c r="O54" s="49"/>
      <c r="Q54" s="35"/>
      <c r="R54" s="35"/>
      <c r="S54" s="35"/>
      <c r="T54" s="35"/>
      <c r="U54" s="35"/>
      <c r="BI54" s="21"/>
    </row>
    <row r="55" spans="1:74" s="7" customFormat="1" ht="18" customHeight="1" x14ac:dyDescent="0.3">
      <c r="A55" s="24" t="s">
        <v>50</v>
      </c>
      <c r="B55" s="7" t="s">
        <v>56</v>
      </c>
      <c r="C55" s="63">
        <v>14.1</v>
      </c>
      <c r="D55" s="63">
        <v>1.71</v>
      </c>
      <c r="E55" s="64">
        <v>-21.485477178423238</v>
      </c>
      <c r="F55" s="64">
        <v>59.496881936370357</v>
      </c>
      <c r="G55" s="64">
        <v>-18.125911199469851</v>
      </c>
      <c r="H55" s="64">
        <v>37.093275488069409</v>
      </c>
      <c r="I55" s="44">
        <v>-2.9024182883053005</v>
      </c>
      <c r="J55" s="45">
        <v>4.1347440107016897</v>
      </c>
      <c r="K55" s="44"/>
      <c r="L55" s="44"/>
      <c r="M55" s="44"/>
      <c r="O55" s="49"/>
      <c r="Q55" s="35"/>
      <c r="R55" s="35"/>
      <c r="S55" s="35"/>
      <c r="T55" s="35"/>
      <c r="U55" s="35"/>
      <c r="BI55" s="21"/>
    </row>
    <row r="56" spans="1:74" s="7" customFormat="1" ht="18" customHeight="1" x14ac:dyDescent="0.3">
      <c r="A56" s="24" t="s">
        <v>57</v>
      </c>
      <c r="B56" s="7" t="s">
        <v>58</v>
      </c>
      <c r="C56" s="43">
        <v>28.175980975029724</v>
      </c>
      <c r="D56" s="43">
        <v>28.585662096123738</v>
      </c>
      <c r="E56" s="22">
        <v>24.628015701954414</v>
      </c>
      <c r="F56" s="22">
        <v>32.489342462214182</v>
      </c>
      <c r="G56" s="22">
        <v>26.646709169808393</v>
      </c>
      <c r="H56" s="22">
        <v>33.219187485535642</v>
      </c>
      <c r="I56" s="44">
        <v>31.723313143783034</v>
      </c>
      <c r="J56" s="45">
        <v>31.849289593096781</v>
      </c>
      <c r="K56" s="44"/>
      <c r="L56" s="44"/>
      <c r="M56" s="44"/>
      <c r="O56" s="49"/>
      <c r="BI56" s="21"/>
    </row>
    <row r="57" spans="1:74" s="7" customFormat="1" ht="18" customHeight="1" x14ac:dyDescent="0.3">
      <c r="A57" s="24" t="s">
        <v>57</v>
      </c>
      <c r="B57" s="7" t="s">
        <v>59</v>
      </c>
      <c r="C57" s="63">
        <v>51.3</v>
      </c>
      <c r="D57" s="63">
        <v>52.74</v>
      </c>
      <c r="E57" s="63">
        <v>50.8</v>
      </c>
      <c r="F57" s="63">
        <v>54.2</v>
      </c>
      <c r="G57" s="64">
        <v>56.970313942353314</v>
      </c>
      <c r="H57" s="64">
        <v>57.12195562040818</v>
      </c>
      <c r="I57" s="44">
        <v>56.753211681648082</v>
      </c>
      <c r="J57" s="45">
        <v>57.412779885442234</v>
      </c>
      <c r="K57" s="44"/>
      <c r="L57" s="44"/>
      <c r="M57" s="44"/>
      <c r="O57" s="49"/>
      <c r="BI57" s="21"/>
    </row>
    <row r="58" spans="1:74" s="7" customFormat="1" ht="18" customHeight="1" x14ac:dyDescent="0.3">
      <c r="A58" s="24" t="s">
        <v>60</v>
      </c>
      <c r="B58" s="7" t="s">
        <v>61</v>
      </c>
      <c r="C58" s="63">
        <v>9.52</v>
      </c>
      <c r="D58" s="63">
        <v>9.0299999999999994</v>
      </c>
      <c r="E58" s="63">
        <v>8.86</v>
      </c>
      <c r="F58" s="63">
        <v>11.66</v>
      </c>
      <c r="G58" s="63">
        <v>11.69</v>
      </c>
      <c r="H58" s="63">
        <v>10.72</v>
      </c>
      <c r="I58" s="44">
        <v>10.47</v>
      </c>
      <c r="J58" s="45">
        <v>10.82</v>
      </c>
      <c r="Q58" s="35"/>
      <c r="R58" s="35"/>
      <c r="S58" s="35"/>
      <c r="T58" s="35"/>
      <c r="U58" s="35"/>
      <c r="BI58" s="21"/>
    </row>
    <row r="59" spans="1:74" s="7" customFormat="1" ht="18" customHeight="1" x14ac:dyDescent="0.3">
      <c r="A59" s="24" t="s">
        <v>60</v>
      </c>
      <c r="B59" s="7" t="s">
        <v>62</v>
      </c>
      <c r="C59" s="65">
        <v>0.63</v>
      </c>
      <c r="D59" s="65">
        <v>0.52</v>
      </c>
      <c r="E59" s="63">
        <v>0.38</v>
      </c>
      <c r="F59" s="63">
        <v>0.44</v>
      </c>
      <c r="G59" s="63">
        <v>0.44</v>
      </c>
      <c r="H59" s="63">
        <v>0.48</v>
      </c>
      <c r="I59" s="44">
        <v>0.47</v>
      </c>
      <c r="J59" s="45">
        <v>0.47</v>
      </c>
      <c r="Q59" s="35"/>
      <c r="R59" s="35"/>
      <c r="S59" s="35"/>
      <c r="T59" s="35"/>
      <c r="U59" s="35"/>
      <c r="BI59" s="21"/>
    </row>
    <row r="60" spans="1:74" s="7" customFormat="1" ht="18" customHeight="1" x14ac:dyDescent="0.3">
      <c r="A60" s="24" t="s">
        <v>63</v>
      </c>
      <c r="B60" s="7" t="s">
        <v>64</v>
      </c>
      <c r="C60" s="63">
        <v>1.0000000000000001E-5</v>
      </c>
      <c r="D60" s="63">
        <v>1.0000000000000001E-5</v>
      </c>
      <c r="E60" s="63">
        <v>1.0000000000000001E-5</v>
      </c>
      <c r="F60" s="63">
        <v>1.0000000000000001E-5</v>
      </c>
      <c r="G60" s="63">
        <v>1.0000000000000001E-5</v>
      </c>
      <c r="H60" s="63">
        <v>1.0000000000000001E-5</v>
      </c>
      <c r="I60" s="44">
        <v>-10.1196</v>
      </c>
      <c r="J60" s="45">
        <v>-22.3188</v>
      </c>
      <c r="Q60" s="35"/>
      <c r="R60" s="35"/>
      <c r="S60" s="35"/>
      <c r="T60" s="35"/>
      <c r="U60" s="35"/>
      <c r="W60" s="30"/>
      <c r="BI60" s="21"/>
    </row>
    <row r="61" spans="1:74" s="7" customFormat="1" ht="18" customHeight="1" x14ac:dyDescent="0.3">
      <c r="A61" s="24" t="s">
        <v>65</v>
      </c>
      <c r="B61" s="7" t="s">
        <v>66</v>
      </c>
      <c r="C61" s="65">
        <v>1.36</v>
      </c>
      <c r="D61" s="65">
        <v>0.98</v>
      </c>
      <c r="E61" s="63">
        <v>1.01</v>
      </c>
      <c r="F61" s="63">
        <v>1.78</v>
      </c>
      <c r="G61" s="63">
        <v>1.43</v>
      </c>
      <c r="H61" s="63">
        <v>1.1599999999999999</v>
      </c>
      <c r="I61" s="44">
        <v>1.19</v>
      </c>
      <c r="J61" s="45">
        <v>0.95</v>
      </c>
      <c r="Q61" s="35"/>
      <c r="R61" s="35"/>
      <c r="S61" s="35"/>
      <c r="T61" s="35"/>
      <c r="U61" s="35"/>
      <c r="W61" s="36"/>
      <c r="AA61" s="36"/>
      <c r="AE61" s="36"/>
      <c r="BI61" s="21"/>
    </row>
    <row r="62" spans="1:74" s="2" customFormat="1" ht="18" customHeight="1" x14ac:dyDescent="0.3">
      <c r="A62" s="24"/>
      <c r="B62" s="7" t="s">
        <v>67</v>
      </c>
      <c r="C62" s="50">
        <v>210000</v>
      </c>
      <c r="D62" s="29">
        <v>205000</v>
      </c>
      <c r="E62" s="29">
        <v>200000</v>
      </c>
      <c r="F62" s="26">
        <v>200000</v>
      </c>
      <c r="G62" s="26">
        <v>100000</v>
      </c>
      <c r="H62" s="26">
        <v>100000</v>
      </c>
      <c r="I62" s="26">
        <v>100000</v>
      </c>
      <c r="J62" s="26">
        <v>150000</v>
      </c>
      <c r="K62" s="7"/>
      <c r="L62" s="7"/>
      <c r="M62" s="7"/>
      <c r="O62" s="7"/>
      <c r="P62" s="35"/>
      <c r="Q62" s="35"/>
      <c r="R62" s="35"/>
      <c r="S62" s="35"/>
      <c r="T62" s="35"/>
      <c r="U62" s="35"/>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B62" s="7"/>
      <c r="BC62" s="7"/>
      <c r="BD62" s="7"/>
      <c r="BE62" s="7"/>
      <c r="BF62" s="7"/>
      <c r="BG62" s="7"/>
      <c r="BH62" s="7"/>
      <c r="BI62" s="7"/>
      <c r="BJ62" s="7"/>
      <c r="BK62" s="7"/>
      <c r="BL62" s="7"/>
      <c r="BM62" s="7"/>
      <c r="BN62" s="7"/>
      <c r="BO62" s="39"/>
      <c r="BP62" s="39"/>
      <c r="BQ62" s="39"/>
      <c r="BR62" s="39"/>
      <c r="BS62" s="39"/>
      <c r="BT62" s="39"/>
      <c r="BU62" s="39"/>
      <c r="BV62" s="39"/>
    </row>
    <row r="63" spans="1:74" x14ac:dyDescent="0.3">
      <c r="P63" s="30"/>
      <c r="Q63" s="30"/>
      <c r="R63" s="30"/>
      <c r="S63" s="30"/>
      <c r="T63" s="30"/>
      <c r="U63" s="30"/>
      <c r="V63" s="30"/>
      <c r="W63" s="30"/>
      <c r="X63" s="30"/>
      <c r="Y63" s="30"/>
      <c r="Z63" s="30"/>
      <c r="AA63" s="30"/>
      <c r="AB63" s="30"/>
      <c r="AC63" s="30"/>
      <c r="AD63" s="30"/>
      <c r="AE63" s="30"/>
      <c r="AF63" s="30"/>
      <c r="AG63" s="30"/>
      <c r="AI63"/>
      <c r="AJ63"/>
      <c r="AK63"/>
      <c r="AL63"/>
      <c r="AM63"/>
      <c r="AN63"/>
      <c r="AO63"/>
      <c r="AP63"/>
      <c r="AQ63"/>
      <c r="AR63"/>
      <c r="AS63"/>
      <c r="AT63"/>
      <c r="AU63"/>
      <c r="AV63"/>
      <c r="AW63" s="51"/>
      <c r="AX63"/>
      <c r="AY63"/>
      <c r="AZ63"/>
      <c r="BE63" s="2"/>
      <c r="BF63" s="2"/>
    </row>
    <row r="64" spans="1:74" x14ac:dyDescent="0.3">
      <c r="AI64"/>
      <c r="AJ64"/>
      <c r="AK64"/>
      <c r="AL64"/>
      <c r="AM64"/>
      <c r="AN64"/>
      <c r="AO64"/>
      <c r="AP64"/>
      <c r="AQ64"/>
      <c r="AR64"/>
      <c r="AS64"/>
      <c r="AT64"/>
      <c r="AU64"/>
      <c r="AV64"/>
      <c r="AW64" s="51"/>
      <c r="AX64"/>
      <c r="AY64"/>
      <c r="AZ64"/>
      <c r="BE64" s="2"/>
      <c r="BF64" s="2"/>
    </row>
    <row r="65" spans="1:58" x14ac:dyDescent="0.3">
      <c r="A65" s="16" t="s">
        <v>68</v>
      </c>
      <c r="B65" s="8" t="s">
        <v>87</v>
      </c>
      <c r="C65" s="8">
        <v>2018</v>
      </c>
      <c r="D65" s="8">
        <v>2019</v>
      </c>
      <c r="E65" s="8">
        <v>2020</v>
      </c>
      <c r="F65" s="9">
        <v>2021</v>
      </c>
      <c r="G65" s="10">
        <v>2022</v>
      </c>
      <c r="H65" s="11">
        <v>2023</v>
      </c>
      <c r="I65" s="12">
        <v>2024</v>
      </c>
      <c r="J65" s="13">
        <v>2025</v>
      </c>
      <c r="K65" s="2"/>
      <c r="L65" s="2"/>
      <c r="M65" s="2"/>
      <c r="N65" s="16" t="s">
        <v>68</v>
      </c>
      <c r="O65" s="8" t="s">
        <v>87</v>
      </c>
      <c r="P65" s="16" t="s">
        <v>125</v>
      </c>
      <c r="Q65" s="16" t="s">
        <v>126</v>
      </c>
      <c r="R65" s="16" t="s">
        <v>9</v>
      </c>
      <c r="S65" s="17" t="s">
        <v>100</v>
      </c>
      <c r="T65" s="16" t="s">
        <v>11</v>
      </c>
      <c r="U65" s="16" t="s">
        <v>12</v>
      </c>
      <c r="V65" s="16" t="s">
        <v>101</v>
      </c>
      <c r="W65" s="17" t="s">
        <v>102</v>
      </c>
      <c r="X65" s="16" t="s">
        <v>103</v>
      </c>
      <c r="Y65" s="16" t="s">
        <v>104</v>
      </c>
      <c r="Z65" s="16" t="s">
        <v>105</v>
      </c>
      <c r="AA65" s="17" t="s">
        <v>106</v>
      </c>
      <c r="AB65" s="16" t="s">
        <v>107</v>
      </c>
      <c r="AC65" s="16" t="s">
        <v>108</v>
      </c>
      <c r="AD65" s="16" t="s">
        <v>109</v>
      </c>
      <c r="AE65" s="17" t="s">
        <v>110</v>
      </c>
      <c r="AF65" s="16" t="s">
        <v>111</v>
      </c>
      <c r="AG65" s="16" t="s">
        <v>112</v>
      </c>
      <c r="AH65" s="16" t="s">
        <v>113</v>
      </c>
      <c r="AI65" s="17" t="s">
        <v>114</v>
      </c>
      <c r="AJ65" s="16" t="s">
        <v>115</v>
      </c>
      <c r="AK65" s="16" t="s">
        <v>116</v>
      </c>
      <c r="AL65" s="16" t="s">
        <v>117</v>
      </c>
      <c r="AM65" s="17" t="s">
        <v>30</v>
      </c>
      <c r="AN65" s="16" t="s">
        <v>31</v>
      </c>
      <c r="AO65" s="16" t="s">
        <v>32</v>
      </c>
      <c r="AP65" s="16" t="s">
        <v>118</v>
      </c>
      <c r="AQ65" s="17" t="s">
        <v>119</v>
      </c>
      <c r="AR65" s="16" t="s">
        <v>120</v>
      </c>
      <c r="AS65" s="16" t="s">
        <v>121</v>
      </c>
      <c r="AT65" s="16" t="s">
        <v>127</v>
      </c>
      <c r="AU65" s="17" t="s">
        <v>122</v>
      </c>
      <c r="AV65" s="16"/>
      <c r="AW65" s="8" t="s">
        <v>87</v>
      </c>
      <c r="AX65"/>
      <c r="AY65"/>
      <c r="AZ65"/>
      <c r="BB65" s="8" t="s">
        <v>87</v>
      </c>
      <c r="BC65" s="20" t="s">
        <v>123</v>
      </c>
      <c r="BD65" s="20" t="s">
        <v>39</v>
      </c>
      <c r="BE65" s="20" t="s">
        <v>41</v>
      </c>
      <c r="BF65" s="20" t="s">
        <v>42</v>
      </c>
    </row>
    <row r="66" spans="1:58" x14ac:dyDescent="0.3">
      <c r="A66" s="24" t="s">
        <v>43</v>
      </c>
      <c r="B66" s="7" t="s">
        <v>128</v>
      </c>
      <c r="C66" s="34">
        <v>10013</v>
      </c>
      <c r="D66" s="34">
        <v>9421</v>
      </c>
      <c r="E66" s="34">
        <v>8139</v>
      </c>
      <c r="F66" s="34">
        <v>9787</v>
      </c>
      <c r="G66" s="34">
        <v>8748</v>
      </c>
      <c r="H66" s="34">
        <v>9741.7999999999993</v>
      </c>
      <c r="I66" s="34">
        <v>9782</v>
      </c>
      <c r="J66" s="34">
        <v>9690</v>
      </c>
      <c r="K66" s="2"/>
      <c r="L66" s="2"/>
      <c r="M66" s="2"/>
      <c r="N66" s="24" t="s">
        <v>43</v>
      </c>
      <c r="O66" s="7" t="s">
        <v>128</v>
      </c>
      <c r="P66" s="29">
        <v>2535.6</v>
      </c>
      <c r="Q66" s="29">
        <v>2594.9</v>
      </c>
      <c r="R66" s="29">
        <v>2511</v>
      </c>
      <c r="S66" s="29">
        <v>2371.5</v>
      </c>
      <c r="T66" s="29">
        <v>2240</v>
      </c>
      <c r="U66" s="29">
        <v>2400.4</v>
      </c>
      <c r="V66" s="29">
        <v>2416.6</v>
      </c>
      <c r="W66" s="29">
        <v>2364</v>
      </c>
      <c r="X66" s="29">
        <v>2025.8</v>
      </c>
      <c r="Y66" s="29">
        <v>1593.7</v>
      </c>
      <c r="Z66" s="29">
        <v>2286.4</v>
      </c>
      <c r="AA66" s="29">
        <v>2233.1000000000004</v>
      </c>
      <c r="AB66" s="29">
        <v>2161.5</v>
      </c>
      <c r="AC66" s="29">
        <v>2488.6999999999998</v>
      </c>
      <c r="AD66" s="29">
        <v>2598.4</v>
      </c>
      <c r="AE66" s="29">
        <v>2538.3999999999996</v>
      </c>
      <c r="AF66" s="29">
        <v>2302.4</v>
      </c>
      <c r="AG66" s="29">
        <v>2112.8000000000002</v>
      </c>
      <c r="AH66" s="29">
        <v>2124.8000000000002</v>
      </c>
      <c r="AI66" s="29">
        <v>2207.9999999999991</v>
      </c>
      <c r="AJ66" s="29">
        <v>2224.3000000000002</v>
      </c>
      <c r="AK66" s="29">
        <v>2487.1999999999998</v>
      </c>
      <c r="AL66" s="29">
        <v>2556.1999999999998</v>
      </c>
      <c r="AM66" s="29">
        <v>2474.1</v>
      </c>
      <c r="AN66" s="29">
        <v>2355</v>
      </c>
      <c r="AO66" s="29">
        <v>2461</v>
      </c>
      <c r="AP66" s="29">
        <v>2656</v>
      </c>
      <c r="AQ66" s="29">
        <v>2310</v>
      </c>
      <c r="AR66" s="29">
        <v>2132</v>
      </c>
      <c r="AS66" s="29">
        <v>2458</v>
      </c>
      <c r="AT66" s="29">
        <v>2563</v>
      </c>
      <c r="AU66" s="29">
        <v>2537</v>
      </c>
      <c r="AV66" s="29"/>
      <c r="AW66" s="7" t="s">
        <v>128</v>
      </c>
      <c r="AX66"/>
      <c r="AY66"/>
      <c r="AZ66"/>
      <c r="BB66" s="7" t="s">
        <v>129</v>
      </c>
      <c r="BC66" s="34">
        <f t="shared" ref="BC66:BC67" si="41">SUM(AN66:AQ66)</f>
        <v>9782</v>
      </c>
      <c r="BD66" s="34">
        <f t="shared" ref="BD66:BD67" si="42">SUM(AR66:AU66)</f>
        <v>9690</v>
      </c>
      <c r="BE66" s="35">
        <f t="shared" ref="BE66:BE67" si="43">(BD66-BC66)/ABS(BC66)</f>
        <v>-9.4050296462891026E-3</v>
      </c>
      <c r="BF66" s="35">
        <f t="shared" ref="BF66:BF67" si="44">(AU66/AP66)^(1/5)-1</f>
        <v>-9.1258941400198523E-3</v>
      </c>
    </row>
    <row r="67" spans="1:58" x14ac:dyDescent="0.3">
      <c r="A67" s="24" t="s">
        <v>43</v>
      </c>
      <c r="B67" s="7" t="s">
        <v>130</v>
      </c>
      <c r="C67" s="34">
        <v>11012</v>
      </c>
      <c r="D67" s="34">
        <v>11656</v>
      </c>
      <c r="E67" s="34">
        <v>10726</v>
      </c>
      <c r="F67" s="34">
        <v>13085</v>
      </c>
      <c r="G67" s="34">
        <v>14106</v>
      </c>
      <c r="H67" s="34">
        <v>15436.4</v>
      </c>
      <c r="I67" s="34">
        <v>15714.4</v>
      </c>
      <c r="J67" s="34">
        <v>16548</v>
      </c>
      <c r="K67" s="2"/>
      <c r="L67" s="2"/>
      <c r="M67" s="2"/>
      <c r="N67" s="24" t="s">
        <v>43</v>
      </c>
      <c r="O67" s="7" t="s">
        <v>130</v>
      </c>
      <c r="P67" s="29">
        <v>2603.3000000000002</v>
      </c>
      <c r="Q67" s="29">
        <v>2759</v>
      </c>
      <c r="R67" s="29">
        <v>2858.4</v>
      </c>
      <c r="S67" s="29">
        <v>2791.2999999999993</v>
      </c>
      <c r="T67" s="29">
        <v>2715.1</v>
      </c>
      <c r="U67" s="29">
        <v>2940.9</v>
      </c>
      <c r="V67" s="29">
        <v>3014</v>
      </c>
      <c r="W67" s="29">
        <v>2985</v>
      </c>
      <c r="X67" s="29">
        <v>2608</v>
      </c>
      <c r="Y67" s="29">
        <v>2088</v>
      </c>
      <c r="Z67" s="29">
        <v>3044.8</v>
      </c>
      <c r="AA67" s="29">
        <v>2985.2</v>
      </c>
      <c r="AB67" s="29">
        <v>2887.4</v>
      </c>
      <c r="AC67" s="29">
        <v>3306.2</v>
      </c>
      <c r="AD67" s="29">
        <v>3510.2</v>
      </c>
      <c r="AE67" s="29">
        <v>3381.2000000000007</v>
      </c>
      <c r="AF67" s="29">
        <v>3262.8</v>
      </c>
      <c r="AG67" s="29">
        <v>3526.8</v>
      </c>
      <c r="AH67" s="29">
        <v>3671.2</v>
      </c>
      <c r="AI67" s="29">
        <v>3645.2000000000007</v>
      </c>
      <c r="AJ67" s="29">
        <v>3587.5</v>
      </c>
      <c r="AK67" s="29">
        <v>3933.2</v>
      </c>
      <c r="AL67" s="29">
        <v>4047.1</v>
      </c>
      <c r="AM67" s="29">
        <v>3868.6</v>
      </c>
      <c r="AN67" s="29">
        <v>3723</v>
      </c>
      <c r="AO67" s="29">
        <v>3940</v>
      </c>
      <c r="AP67" s="29">
        <v>4093.4</v>
      </c>
      <c r="AQ67" s="29">
        <v>3958</v>
      </c>
      <c r="AR67" s="29">
        <v>3661</v>
      </c>
      <c r="AS67" s="29">
        <v>4213</v>
      </c>
      <c r="AT67" s="29">
        <v>4363</v>
      </c>
      <c r="AU67" s="29">
        <v>4311</v>
      </c>
      <c r="AV67" s="29"/>
      <c r="AW67" s="7" t="s">
        <v>130</v>
      </c>
      <c r="AX67"/>
      <c r="AY67"/>
      <c r="AZ67"/>
      <c r="BB67" s="7" t="s">
        <v>131</v>
      </c>
      <c r="BC67" s="34">
        <f t="shared" si="41"/>
        <v>15714.4</v>
      </c>
      <c r="BD67" s="34">
        <f t="shared" si="42"/>
        <v>16548</v>
      </c>
      <c r="BE67" s="35">
        <f t="shared" si="43"/>
        <v>5.304688693173143E-2</v>
      </c>
      <c r="BF67" s="35">
        <f t="shared" si="44"/>
        <v>1.0412633096245072E-2</v>
      </c>
    </row>
    <row r="68" spans="1:58" x14ac:dyDescent="0.3">
      <c r="A68" s="24" t="s">
        <v>43</v>
      </c>
      <c r="B68" s="7" t="s">
        <v>132</v>
      </c>
      <c r="C68" s="34">
        <v>0</v>
      </c>
      <c r="D68" s="34">
        <v>0</v>
      </c>
      <c r="E68" s="34">
        <v>342</v>
      </c>
      <c r="F68" s="34">
        <v>351</v>
      </c>
      <c r="G68" s="34">
        <v>329</v>
      </c>
      <c r="H68" s="34">
        <v>315.60000000000002</v>
      </c>
      <c r="I68" s="34">
        <v>424.4</v>
      </c>
      <c r="J68" s="34">
        <v>648</v>
      </c>
      <c r="K68" s="2"/>
      <c r="L68" s="2"/>
      <c r="M68" s="2"/>
      <c r="N68" s="24" t="s">
        <v>43</v>
      </c>
      <c r="O68" s="7" t="s">
        <v>132</v>
      </c>
      <c r="P68" s="29">
        <v>0</v>
      </c>
      <c r="Q68" s="29">
        <v>0</v>
      </c>
      <c r="R68" s="29">
        <v>0</v>
      </c>
      <c r="S68" s="29">
        <v>0</v>
      </c>
      <c r="T68" s="29"/>
      <c r="U68" s="29"/>
      <c r="V68" s="29"/>
      <c r="W68" s="29"/>
      <c r="X68" s="29">
        <v>81</v>
      </c>
      <c r="Y68" s="29">
        <v>80</v>
      </c>
      <c r="Z68" s="29">
        <v>87</v>
      </c>
      <c r="AA68" s="29">
        <v>96</v>
      </c>
      <c r="AB68" s="29">
        <v>76</v>
      </c>
      <c r="AC68" s="29">
        <v>93</v>
      </c>
      <c r="AD68" s="29">
        <v>93</v>
      </c>
      <c r="AE68" s="29">
        <v>89</v>
      </c>
      <c r="AF68" s="29">
        <v>101</v>
      </c>
      <c r="AG68" s="29">
        <v>78.8</v>
      </c>
      <c r="AH68" s="29">
        <v>76.099999999999994</v>
      </c>
      <c r="AI68" s="29">
        <v>73.400000000000006</v>
      </c>
      <c r="AJ68" s="29">
        <v>86</v>
      </c>
      <c r="AK68" s="29">
        <v>77.2</v>
      </c>
      <c r="AL68" s="29">
        <v>88.9</v>
      </c>
      <c r="AM68" s="29">
        <v>63.5</v>
      </c>
      <c r="AN68" s="29">
        <v>91</v>
      </c>
      <c r="AO68" s="29">
        <v>89</v>
      </c>
      <c r="AP68" s="29">
        <v>124.4</v>
      </c>
      <c r="AQ68" s="29">
        <v>120</v>
      </c>
      <c r="AR68" s="29">
        <f>163</f>
        <v>163</v>
      </c>
      <c r="AS68" s="29">
        <v>172</v>
      </c>
      <c r="AT68" s="29">
        <v>152</v>
      </c>
      <c r="AU68" s="29">
        <v>161</v>
      </c>
      <c r="AV68" s="29"/>
      <c r="AW68" s="7" t="s">
        <v>132</v>
      </c>
      <c r="AX68"/>
      <c r="AY68"/>
      <c r="AZ68"/>
      <c r="BE68" s="2"/>
      <c r="BF68" s="2"/>
    </row>
    <row r="69" spans="1:58" ht="16.2" thickBot="1" x14ac:dyDescent="0.35">
      <c r="A69" s="24"/>
      <c r="B69" s="6" t="s">
        <v>77</v>
      </c>
      <c r="C69" s="53">
        <f>SUM(C66:C68)</f>
        <v>21025</v>
      </c>
      <c r="D69" s="53">
        <f t="shared" ref="D69:J69" si="45">SUM(D66:D68)</f>
        <v>21077</v>
      </c>
      <c r="E69" s="53">
        <f t="shared" si="45"/>
        <v>19207</v>
      </c>
      <c r="F69" s="53">
        <f t="shared" si="45"/>
        <v>23223</v>
      </c>
      <c r="G69" s="53">
        <f t="shared" si="45"/>
        <v>23183</v>
      </c>
      <c r="H69" s="53">
        <f t="shared" si="45"/>
        <v>25493.799999999996</v>
      </c>
      <c r="I69" s="53">
        <f t="shared" si="45"/>
        <v>25920.800000000003</v>
      </c>
      <c r="J69" s="53">
        <f t="shared" si="45"/>
        <v>26886</v>
      </c>
      <c r="K69" s="2"/>
      <c r="L69" s="2"/>
      <c r="M69" s="2"/>
      <c r="N69" s="24"/>
      <c r="O69" s="6" t="s">
        <v>77</v>
      </c>
      <c r="P69" s="53">
        <f t="shared" ref="P69:AC69" si="46">SUM(P66:P68)</f>
        <v>5138.8999999999996</v>
      </c>
      <c r="Q69" s="53">
        <f t="shared" si="46"/>
        <v>5353.9</v>
      </c>
      <c r="R69" s="53">
        <f t="shared" si="46"/>
        <v>5369.4</v>
      </c>
      <c r="S69" s="53">
        <f t="shared" si="46"/>
        <v>5162.7999999999993</v>
      </c>
      <c r="T69" s="53">
        <f t="shared" si="46"/>
        <v>4955.1000000000004</v>
      </c>
      <c r="U69" s="53">
        <f t="shared" si="46"/>
        <v>5341.3</v>
      </c>
      <c r="V69" s="53">
        <f t="shared" si="46"/>
        <v>5430.6</v>
      </c>
      <c r="W69" s="53">
        <f t="shared" si="46"/>
        <v>5349</v>
      </c>
      <c r="X69" s="53">
        <f t="shared" si="46"/>
        <v>4714.8</v>
      </c>
      <c r="Y69" s="53">
        <f t="shared" si="46"/>
        <v>3761.7</v>
      </c>
      <c r="Z69" s="53">
        <f t="shared" si="46"/>
        <v>5418.2000000000007</v>
      </c>
      <c r="AA69" s="53">
        <f t="shared" si="46"/>
        <v>5314.3</v>
      </c>
      <c r="AB69" s="53">
        <f t="shared" si="46"/>
        <v>5124.8999999999996</v>
      </c>
      <c r="AC69" s="53">
        <f t="shared" si="46"/>
        <v>5887.9</v>
      </c>
      <c r="AD69" s="53">
        <f>SUM(AD66:AD68)</f>
        <v>6201.6</v>
      </c>
      <c r="AE69" s="53">
        <f>SUM(AE66:AE68)</f>
        <v>6008.6</v>
      </c>
      <c r="AF69" s="53">
        <f>SUM(AF66:AF68)</f>
        <v>5666.2000000000007</v>
      </c>
      <c r="AG69" s="53">
        <f t="shared" ref="AG69:AH69" si="47">SUM(AG66:AG68)</f>
        <v>5718.4000000000005</v>
      </c>
      <c r="AH69" s="53">
        <f t="shared" si="47"/>
        <v>5872.1</v>
      </c>
      <c r="AI69" s="53">
        <f>SUM(AI66:AI68)</f>
        <v>5926.5999999999995</v>
      </c>
      <c r="AJ69" s="53">
        <f>SUM(AJ66:AJ68)</f>
        <v>5897.8</v>
      </c>
      <c r="AK69" s="53">
        <f t="shared" ref="AK69:AL69" si="48">SUM(AK66:AK68)</f>
        <v>6497.5999999999995</v>
      </c>
      <c r="AL69" s="53">
        <f t="shared" si="48"/>
        <v>6692.1999999999989</v>
      </c>
      <c r="AM69" s="53">
        <f>SUM(AM66:AM68)</f>
        <v>6406.2</v>
      </c>
      <c r="AN69" s="53">
        <f>SUM(AN66:AN68)</f>
        <v>6169</v>
      </c>
      <c r="AO69" s="53">
        <f t="shared" ref="AO69:AP69" si="49">SUM(AO66:AO68)</f>
        <v>6490</v>
      </c>
      <c r="AP69" s="53">
        <f t="shared" si="49"/>
        <v>6873.7999999999993</v>
      </c>
      <c r="AQ69" s="53">
        <f>SUM(AQ66:AQ68)</f>
        <v>6388</v>
      </c>
      <c r="AR69" s="53">
        <f>SUM(AR66:AR68)</f>
        <v>5956</v>
      </c>
      <c r="AS69" s="53">
        <f t="shared" ref="AS69:AT69" si="50">SUM(AS66:AS68)</f>
        <v>6843</v>
      </c>
      <c r="AT69" s="53">
        <f t="shared" si="50"/>
        <v>7078</v>
      </c>
      <c r="AU69" s="53">
        <f>SUM(AU66:AU68)</f>
        <v>7009</v>
      </c>
      <c r="AV69" s="34"/>
      <c r="AW69" s="6" t="s">
        <v>77</v>
      </c>
      <c r="AX69"/>
      <c r="AY69"/>
      <c r="AZ69"/>
      <c r="BE69" s="2"/>
      <c r="BF69" s="2"/>
    </row>
    <row r="70" spans="1:58" ht="16.2" thickTop="1" x14ac:dyDescent="0.3">
      <c r="A70" s="2"/>
      <c r="B70" s="2"/>
      <c r="C70" s="2"/>
      <c r="D70" s="2"/>
      <c r="E70" s="2"/>
      <c r="F70" s="2"/>
      <c r="G70" s="2"/>
      <c r="H70" s="2"/>
      <c r="J70" s="2"/>
      <c r="K70" s="2"/>
      <c r="L70" s="2"/>
      <c r="M70" s="2"/>
      <c r="N70" s="2"/>
      <c r="O70" s="2"/>
      <c r="P70" s="29"/>
      <c r="Q70" s="29"/>
      <c r="R70" s="29"/>
      <c r="S70" s="29"/>
      <c r="T70" s="29"/>
      <c r="U70" s="29"/>
      <c r="V70" s="29"/>
      <c r="W70" s="29"/>
      <c r="X70" s="29"/>
      <c r="Y70" s="29"/>
      <c r="Z70" s="29"/>
      <c r="AA70" s="29"/>
      <c r="AB70" s="29"/>
      <c r="AC70" s="29"/>
      <c r="AD70" s="29"/>
      <c r="AE70" s="29"/>
      <c r="AF70" s="29"/>
      <c r="AG70" s="29"/>
      <c r="AH70" s="29"/>
      <c r="AI70"/>
      <c r="AJ70" s="29"/>
      <c r="AK70" s="29"/>
      <c r="AL70" s="29"/>
      <c r="AM70"/>
      <c r="AN70"/>
      <c r="AO70" s="29"/>
      <c r="AP70"/>
      <c r="AQ70"/>
      <c r="AR70"/>
      <c r="AS70"/>
      <c r="AT70"/>
      <c r="AU70"/>
      <c r="AV70" s="29"/>
      <c r="AX70"/>
      <c r="AY70"/>
      <c r="AZ70"/>
      <c r="BE70" s="2"/>
      <c r="BF70" s="2"/>
    </row>
    <row r="71" spans="1:58" x14ac:dyDescent="0.3">
      <c r="A71" s="2"/>
      <c r="B71" s="2"/>
      <c r="C71" s="2"/>
      <c r="D71" s="2"/>
      <c r="E71" s="66"/>
      <c r="F71" s="2"/>
      <c r="G71" s="2"/>
      <c r="H71" s="2"/>
      <c r="J71" s="2"/>
      <c r="K71" s="2"/>
      <c r="L71" s="2"/>
      <c r="M71" s="2"/>
      <c r="N71" s="2"/>
      <c r="O71" s="2"/>
      <c r="P71" s="29"/>
      <c r="Q71" s="29"/>
      <c r="R71" s="29"/>
      <c r="S71" s="29"/>
      <c r="T71" s="29"/>
      <c r="U71" s="29"/>
      <c r="V71" s="29"/>
      <c r="W71" s="29"/>
      <c r="X71" s="29"/>
      <c r="Y71" s="29"/>
      <c r="Z71" s="29"/>
      <c r="AA71" s="29"/>
      <c r="AB71" s="29"/>
      <c r="AC71" s="29"/>
      <c r="AD71" s="29"/>
      <c r="AE71" s="29"/>
      <c r="AF71" s="29"/>
      <c r="AG71" s="29"/>
      <c r="AH71" s="29"/>
      <c r="AI71"/>
      <c r="AJ71" s="29"/>
      <c r="AK71" s="29"/>
      <c r="AL71" s="29"/>
      <c r="AM71"/>
      <c r="AN71"/>
      <c r="AO71" s="29"/>
      <c r="AP71"/>
      <c r="AQ71"/>
      <c r="AR71"/>
      <c r="AS71"/>
      <c r="AT71"/>
      <c r="AU71"/>
      <c r="AV71" s="29"/>
      <c r="AX71"/>
      <c r="AY71"/>
      <c r="AZ71"/>
      <c r="BE71" s="2"/>
      <c r="BF71" s="2"/>
    </row>
    <row r="72" spans="1:58" x14ac:dyDescent="0.3">
      <c r="A72" s="16" t="s">
        <v>68</v>
      </c>
      <c r="B72" s="8" t="s">
        <v>133</v>
      </c>
      <c r="C72" s="8">
        <v>2018</v>
      </c>
      <c r="D72" s="8">
        <v>2019</v>
      </c>
      <c r="E72" s="8">
        <v>2020</v>
      </c>
      <c r="F72" s="9">
        <v>2021</v>
      </c>
      <c r="G72" s="10">
        <v>2022</v>
      </c>
      <c r="H72" s="11">
        <v>2023</v>
      </c>
      <c r="I72" s="12">
        <v>2024</v>
      </c>
      <c r="J72" s="13">
        <v>2025</v>
      </c>
      <c r="K72" s="2"/>
      <c r="L72" s="2"/>
      <c r="M72" s="2"/>
      <c r="N72" s="16" t="s">
        <v>68</v>
      </c>
      <c r="O72" s="8" t="s">
        <v>133</v>
      </c>
      <c r="P72" s="16" t="s">
        <v>125</v>
      </c>
      <c r="Q72" s="16" t="s">
        <v>126</v>
      </c>
      <c r="R72" s="16" t="s">
        <v>9</v>
      </c>
      <c r="S72" s="17" t="s">
        <v>100</v>
      </c>
      <c r="T72" s="16" t="s">
        <v>11</v>
      </c>
      <c r="U72" s="16" t="s">
        <v>12</v>
      </c>
      <c r="V72" s="16" t="s">
        <v>101</v>
      </c>
      <c r="W72" s="17" t="s">
        <v>102</v>
      </c>
      <c r="X72" s="16" t="s">
        <v>103</v>
      </c>
      <c r="Y72" s="16" t="s">
        <v>104</v>
      </c>
      <c r="Z72" s="16" t="s">
        <v>105</v>
      </c>
      <c r="AA72" s="17" t="s">
        <v>106</v>
      </c>
      <c r="AB72" s="16" t="s">
        <v>107</v>
      </c>
      <c r="AC72" s="16" t="s">
        <v>108</v>
      </c>
      <c r="AD72" s="16" t="s">
        <v>109</v>
      </c>
      <c r="AE72" s="17" t="s">
        <v>110</v>
      </c>
      <c r="AF72" s="16" t="s">
        <v>111</v>
      </c>
      <c r="AG72" s="16" t="s">
        <v>112</v>
      </c>
      <c r="AH72" s="16" t="s">
        <v>113</v>
      </c>
      <c r="AI72" s="17" t="s">
        <v>114</v>
      </c>
      <c r="AJ72" s="16" t="s">
        <v>115</v>
      </c>
      <c r="AK72" s="16" t="s">
        <v>116</v>
      </c>
      <c r="AL72" s="16" t="s">
        <v>117</v>
      </c>
      <c r="AM72" s="17" t="s">
        <v>30</v>
      </c>
      <c r="AN72" s="16" t="s">
        <v>31</v>
      </c>
      <c r="AO72" s="16" t="s">
        <v>32</v>
      </c>
      <c r="AP72" s="16" t="s">
        <v>118</v>
      </c>
      <c r="AQ72" s="17" t="s">
        <v>119</v>
      </c>
      <c r="AR72" s="16" t="s">
        <v>120</v>
      </c>
      <c r="AS72" s="16" t="s">
        <v>121</v>
      </c>
      <c r="AT72" s="16" t="s">
        <v>127</v>
      </c>
      <c r="AU72" s="17" t="s">
        <v>122</v>
      </c>
      <c r="AV72" s="16"/>
      <c r="AW72" s="8" t="s">
        <v>133</v>
      </c>
      <c r="AX72"/>
      <c r="AY72"/>
      <c r="AZ72"/>
      <c r="BB72" s="8" t="s">
        <v>79</v>
      </c>
      <c r="BC72" s="20" t="s">
        <v>123</v>
      </c>
      <c r="BD72" s="20" t="s">
        <v>39</v>
      </c>
      <c r="BE72" s="20" t="s">
        <v>41</v>
      </c>
      <c r="BF72" s="20" t="s">
        <v>42</v>
      </c>
    </row>
    <row r="73" spans="1:58" x14ac:dyDescent="0.3">
      <c r="A73" s="24" t="s">
        <v>43</v>
      </c>
      <c r="B73" s="7" t="s">
        <v>134</v>
      </c>
      <c r="C73" s="34">
        <v>7666</v>
      </c>
      <c r="D73" s="34">
        <v>7843</v>
      </c>
      <c r="E73" s="34">
        <v>7656</v>
      </c>
      <c r="F73" s="34">
        <v>8711</v>
      </c>
      <c r="G73" s="34">
        <v>9421</v>
      </c>
      <c r="H73" s="34">
        <v>10240.627</v>
      </c>
      <c r="I73" s="34">
        <v>10272.197921999999</v>
      </c>
      <c r="J73" s="34">
        <v>10486</v>
      </c>
      <c r="K73" s="2"/>
      <c r="L73" s="2"/>
      <c r="M73" s="2"/>
      <c r="N73" s="24" t="s">
        <v>43</v>
      </c>
      <c r="O73" s="7" t="s">
        <v>134</v>
      </c>
      <c r="P73" s="29">
        <v>1867.2</v>
      </c>
      <c r="Q73" s="29">
        <v>1961.2</v>
      </c>
      <c r="R73" s="29">
        <v>1930</v>
      </c>
      <c r="S73" s="29">
        <v>1907.6000000000004</v>
      </c>
      <c r="T73" s="29">
        <v>1846.1999999999998</v>
      </c>
      <c r="U73" s="29">
        <v>2007.6</v>
      </c>
      <c r="V73" s="29">
        <v>1990.3999999999999</v>
      </c>
      <c r="W73" s="29">
        <v>1998.8000000000002</v>
      </c>
      <c r="X73" s="29">
        <v>1829.9</v>
      </c>
      <c r="Y73" s="29">
        <v>1717</v>
      </c>
      <c r="Z73" s="29">
        <v>2051.5</v>
      </c>
      <c r="AA73" s="29">
        <v>2057.6000000000004</v>
      </c>
      <c r="AB73" s="29">
        <v>2038.8</v>
      </c>
      <c r="AC73" s="29">
        <v>2235.9</v>
      </c>
      <c r="AD73" s="29">
        <v>2218.1999999999998</v>
      </c>
      <c r="AE73" s="29">
        <v>2218.1000000000004</v>
      </c>
      <c r="AF73" s="29">
        <v>2132.5</v>
      </c>
      <c r="AG73" s="29">
        <v>2410</v>
      </c>
      <c r="AH73" s="29">
        <v>2353.2979999999998</v>
      </c>
      <c r="AI73" s="29">
        <v>2525.2020000000002</v>
      </c>
      <c r="AJ73" s="29">
        <v>2439.8000000000002</v>
      </c>
      <c r="AK73" s="29">
        <v>2701.2</v>
      </c>
      <c r="AL73" s="29">
        <v>2657.1</v>
      </c>
      <c r="AM73" s="29">
        <v>2442.527</v>
      </c>
      <c r="AN73" s="29">
        <v>2500.7950000000001</v>
      </c>
      <c r="AO73" s="29">
        <v>2698</v>
      </c>
      <c r="AP73" s="29">
        <v>2665.0712999999996</v>
      </c>
      <c r="AQ73" s="29">
        <v>2408.3316220000002</v>
      </c>
      <c r="AR73" s="29">
        <v>2403</v>
      </c>
      <c r="AS73" s="29">
        <v>2781</v>
      </c>
      <c r="AT73" s="29">
        <v>2696</v>
      </c>
      <c r="AU73" s="29">
        <v>2606</v>
      </c>
      <c r="AV73" s="29"/>
      <c r="AW73" s="7" t="s">
        <v>134</v>
      </c>
      <c r="AX73"/>
      <c r="AY73"/>
      <c r="AZ73"/>
      <c r="BB73" s="7" t="s">
        <v>135</v>
      </c>
      <c r="BC73" s="34">
        <f t="shared" ref="BC73:BC75" si="51">SUM(AN73:AQ73)</f>
        <v>10272.197921999999</v>
      </c>
      <c r="BD73" s="34">
        <f t="shared" ref="BD73:BD75" si="52">SUM(AR73:AU73)</f>
        <v>10486</v>
      </c>
      <c r="BE73" s="35">
        <f t="shared" ref="BE73:BE75" si="53">(BD73-BC73)/ABS(BC73)</f>
        <v>2.0813664185938243E-2</v>
      </c>
      <c r="BF73" s="35">
        <f t="shared" ref="BF73:BF75" si="54">(AU73/AP73)^(1/5)-1</f>
        <v>-4.472833507324192E-3</v>
      </c>
    </row>
    <row r="74" spans="1:58" x14ac:dyDescent="0.3">
      <c r="A74" s="24" t="s">
        <v>43</v>
      </c>
      <c r="B74" s="7" t="s">
        <v>136</v>
      </c>
      <c r="C74" s="34">
        <v>11507</v>
      </c>
      <c r="D74" s="34">
        <v>11398</v>
      </c>
      <c r="E74" s="34">
        <v>9462</v>
      </c>
      <c r="F74" s="34">
        <v>12094</v>
      </c>
      <c r="G74" s="34">
        <v>11164</v>
      </c>
      <c r="H74" s="34">
        <v>12191.088000000002</v>
      </c>
      <c r="I74" s="34">
        <v>12191.510288000001</v>
      </c>
      <c r="J74" s="34">
        <v>13410</v>
      </c>
      <c r="K74" s="2"/>
      <c r="L74" s="2"/>
      <c r="M74" s="2"/>
      <c r="N74" s="24" t="s">
        <v>43</v>
      </c>
      <c r="O74" s="7" t="s">
        <v>136</v>
      </c>
      <c r="P74" s="29">
        <v>2810</v>
      </c>
      <c r="Q74" s="29">
        <v>2936.4</v>
      </c>
      <c r="R74" s="29">
        <v>2962.2</v>
      </c>
      <c r="S74" s="29">
        <v>2798.4000000000015</v>
      </c>
      <c r="T74" s="29">
        <v>2663</v>
      </c>
      <c r="U74" s="29">
        <v>2884.3</v>
      </c>
      <c r="V74" s="29">
        <v>2965.9</v>
      </c>
      <c r="W74" s="29">
        <v>2884.7999999999993</v>
      </c>
      <c r="X74" s="29">
        <v>2379.3000000000002</v>
      </c>
      <c r="Y74" s="29">
        <v>1589.3</v>
      </c>
      <c r="Z74" s="29">
        <v>2817.3</v>
      </c>
      <c r="AA74" s="29">
        <v>2676.0999999999995</v>
      </c>
      <c r="AB74" s="29">
        <v>2524.1</v>
      </c>
      <c r="AC74" s="29">
        <v>3045.8</v>
      </c>
      <c r="AD74" s="29">
        <v>3340.1</v>
      </c>
      <c r="AE74" s="29">
        <v>3184</v>
      </c>
      <c r="AF74" s="29">
        <v>2884</v>
      </c>
      <c r="AG74" s="29">
        <v>2747.5</v>
      </c>
      <c r="AH74" s="29">
        <v>2801</v>
      </c>
      <c r="AI74" s="29">
        <v>2731.5</v>
      </c>
      <c r="AJ74" s="29">
        <v>2756.6</v>
      </c>
      <c r="AK74" s="29">
        <v>3155.6</v>
      </c>
      <c r="AL74" s="29">
        <v>3258.4</v>
      </c>
      <c r="AM74" s="29">
        <v>3020.4880000000012</v>
      </c>
      <c r="AN74" s="29">
        <v>2831.0281999999997</v>
      </c>
      <c r="AO74" s="29">
        <v>3147</v>
      </c>
      <c r="AP74" s="29">
        <v>3189.9735999999998</v>
      </c>
      <c r="AQ74" s="29">
        <v>3023.5084880000009</v>
      </c>
      <c r="AR74" s="29">
        <v>2862</v>
      </c>
      <c r="AS74" s="29">
        <v>3462</v>
      </c>
      <c r="AT74" s="29">
        <v>3606</v>
      </c>
      <c r="AU74" s="29">
        <v>3480</v>
      </c>
      <c r="AV74" s="29"/>
      <c r="AW74" s="7" t="s">
        <v>136</v>
      </c>
      <c r="AX74"/>
      <c r="AY74"/>
      <c r="AZ74"/>
      <c r="BB74" s="7" t="s">
        <v>137</v>
      </c>
      <c r="BC74" s="34">
        <f t="shared" si="51"/>
        <v>12191.510288000001</v>
      </c>
      <c r="BD74" s="34">
        <f t="shared" si="52"/>
        <v>13410</v>
      </c>
      <c r="BE74" s="35">
        <f t="shared" si="53"/>
        <v>9.994575595768046E-2</v>
      </c>
      <c r="BF74" s="35">
        <f t="shared" si="54"/>
        <v>1.7556261412216445E-2</v>
      </c>
    </row>
    <row r="75" spans="1:58" x14ac:dyDescent="0.3">
      <c r="A75" s="24" t="s">
        <v>43</v>
      </c>
      <c r="B75" s="7" t="s">
        <v>138</v>
      </c>
      <c r="C75" s="34">
        <v>1852</v>
      </c>
      <c r="D75" s="34">
        <v>1834</v>
      </c>
      <c r="E75" s="34">
        <v>1746.4</v>
      </c>
      <c r="F75" s="34">
        <v>2068</v>
      </c>
      <c r="G75" s="34">
        <v>2106.1000000000004</v>
      </c>
      <c r="H75" s="34">
        <v>2405.5860000000002</v>
      </c>
      <c r="I75" s="34">
        <v>2383.9628259999999</v>
      </c>
      <c r="J75" s="34">
        <v>2169</v>
      </c>
      <c r="K75" s="2"/>
      <c r="L75" s="2"/>
      <c r="M75" s="2"/>
      <c r="N75" s="24" t="s">
        <v>43</v>
      </c>
      <c r="O75" s="7" t="s">
        <v>138</v>
      </c>
      <c r="P75" s="29">
        <v>461.7</v>
      </c>
      <c r="Q75" s="29">
        <v>456.29999999999995</v>
      </c>
      <c r="R75" s="29">
        <v>477.2</v>
      </c>
      <c r="S75" s="29">
        <v>456.79999999999995</v>
      </c>
      <c r="T75" s="29">
        <v>445.4</v>
      </c>
      <c r="U75" s="29">
        <v>449.4</v>
      </c>
      <c r="V75" s="29">
        <v>474.29999999999995</v>
      </c>
      <c r="W75" s="29">
        <v>464.90000000000009</v>
      </c>
      <c r="X75" s="29">
        <v>424.6</v>
      </c>
      <c r="Y75" s="29">
        <v>375.4</v>
      </c>
      <c r="Z75" s="29">
        <v>462.4</v>
      </c>
      <c r="AA75" s="29">
        <v>484</v>
      </c>
      <c r="AB75" s="29">
        <v>476</v>
      </c>
      <c r="AC75" s="29">
        <v>513.20000000000005</v>
      </c>
      <c r="AD75" s="29">
        <v>550.29999999999995</v>
      </c>
      <c r="AE75" s="29">
        <v>528.5</v>
      </c>
      <c r="AF75" s="29">
        <v>548.70000000000005</v>
      </c>
      <c r="AG75" s="29">
        <v>398</v>
      </c>
      <c r="AH75" s="29">
        <f>550*1.167</f>
        <v>641.85</v>
      </c>
      <c r="AI75" s="29">
        <v>517.55000000000018</v>
      </c>
      <c r="AJ75" s="29">
        <v>615.4</v>
      </c>
      <c r="AK75" s="29">
        <v>564</v>
      </c>
      <c r="AL75" s="29">
        <v>678.8</v>
      </c>
      <c r="AM75" s="29">
        <v>547.38600000000019</v>
      </c>
      <c r="AN75" s="29">
        <v>603.09199999999998</v>
      </c>
      <c r="AO75" s="29">
        <v>556</v>
      </c>
      <c r="AP75" s="29">
        <v>655.04199999999992</v>
      </c>
      <c r="AQ75" s="29">
        <v>569.82882600000016</v>
      </c>
      <c r="AR75" s="29">
        <v>528</v>
      </c>
      <c r="AS75" s="29">
        <v>428</v>
      </c>
      <c r="AT75" s="29">
        <v>625</v>
      </c>
      <c r="AU75" s="29">
        <v>588</v>
      </c>
      <c r="AV75" s="29"/>
      <c r="AW75" s="7" t="s">
        <v>138</v>
      </c>
      <c r="AX75"/>
      <c r="AY75"/>
      <c r="AZ75"/>
      <c r="BB75" s="7" t="s">
        <v>139</v>
      </c>
      <c r="BC75" s="34">
        <f t="shared" si="51"/>
        <v>2383.9628259999999</v>
      </c>
      <c r="BD75" s="34">
        <f t="shared" si="52"/>
        <v>2169</v>
      </c>
      <c r="BE75" s="35">
        <f t="shared" si="53"/>
        <v>-9.0170376675160438E-2</v>
      </c>
      <c r="BF75" s="35">
        <f t="shared" si="54"/>
        <v>-2.1362990053975572E-2</v>
      </c>
    </row>
    <row r="76" spans="1:58" x14ac:dyDescent="0.3">
      <c r="A76" s="24" t="s">
        <v>43</v>
      </c>
      <c r="B76" s="7" t="s">
        <v>132</v>
      </c>
      <c r="C76" s="34">
        <v>0</v>
      </c>
      <c r="D76" s="34">
        <v>0</v>
      </c>
      <c r="E76" s="34">
        <v>344</v>
      </c>
      <c r="F76" s="34">
        <v>350</v>
      </c>
      <c r="G76" s="34">
        <v>491.4</v>
      </c>
      <c r="H76" s="34">
        <v>656.2</v>
      </c>
      <c r="I76" s="34">
        <v>1073</v>
      </c>
      <c r="J76" s="34">
        <v>821</v>
      </c>
      <c r="K76" s="2"/>
      <c r="L76" s="2"/>
      <c r="M76" s="2"/>
      <c r="N76" s="24" t="s">
        <v>43</v>
      </c>
      <c r="O76" s="7" t="s">
        <v>132</v>
      </c>
      <c r="P76" s="29">
        <v>0</v>
      </c>
      <c r="Q76" s="29">
        <v>0</v>
      </c>
      <c r="R76" s="29">
        <v>0</v>
      </c>
      <c r="S76" s="29">
        <v>0</v>
      </c>
      <c r="T76" s="29">
        <v>0</v>
      </c>
      <c r="U76" s="29">
        <v>0</v>
      </c>
      <c r="V76" s="29">
        <v>0</v>
      </c>
      <c r="W76" s="29">
        <v>0</v>
      </c>
      <c r="X76" s="29">
        <v>81</v>
      </c>
      <c r="Y76" s="29">
        <v>80</v>
      </c>
      <c r="Z76" s="29">
        <v>87</v>
      </c>
      <c r="AA76" s="29">
        <v>96</v>
      </c>
      <c r="AB76" s="29">
        <v>86</v>
      </c>
      <c r="AC76" s="29">
        <v>93</v>
      </c>
      <c r="AD76" s="29">
        <v>93</v>
      </c>
      <c r="AE76" s="29">
        <v>78</v>
      </c>
      <c r="AF76" s="29">
        <v>101</v>
      </c>
      <c r="AG76" s="29">
        <v>162</v>
      </c>
      <c r="AH76" s="29">
        <v>76</v>
      </c>
      <c r="AI76" s="29">
        <v>152.4</v>
      </c>
      <c r="AJ76" s="29">
        <v>86</v>
      </c>
      <c r="AK76" s="29">
        <v>77.2</v>
      </c>
      <c r="AL76" s="29">
        <v>98</v>
      </c>
      <c r="AM76" s="29">
        <v>396</v>
      </c>
      <c r="AN76" s="29">
        <v>234</v>
      </c>
      <c r="AO76" s="29">
        <v>89</v>
      </c>
      <c r="AP76" s="29">
        <v>364</v>
      </c>
      <c r="AQ76" s="29">
        <v>386</v>
      </c>
      <c r="AR76" s="29">
        <v>163</v>
      </c>
      <c r="AS76" s="29">
        <v>172</v>
      </c>
      <c r="AT76" s="29">
        <v>151</v>
      </c>
      <c r="AU76" s="29">
        <v>335</v>
      </c>
      <c r="AV76" s="29"/>
      <c r="AW76" s="7" t="s">
        <v>132</v>
      </c>
      <c r="AX76"/>
      <c r="AY76"/>
      <c r="AZ76"/>
      <c r="BE76" s="2"/>
      <c r="BF76" s="2"/>
    </row>
    <row r="77" spans="1:58" ht="16.2" thickBot="1" x14ac:dyDescent="0.35">
      <c r="A77" s="24"/>
      <c r="B77" s="6" t="s">
        <v>77</v>
      </c>
      <c r="C77" s="53">
        <f>SUM(C73:C76)</f>
        <v>21025</v>
      </c>
      <c r="D77" s="53">
        <f t="shared" ref="D77:F77" si="55">SUM(D73:D76)</f>
        <v>21075</v>
      </c>
      <c r="E77" s="53">
        <f t="shared" si="55"/>
        <v>19208.400000000001</v>
      </c>
      <c r="F77" s="53">
        <f t="shared" si="55"/>
        <v>23223</v>
      </c>
      <c r="G77" s="53">
        <f>SUM(G73:G76)</f>
        <v>23182.5</v>
      </c>
      <c r="H77" s="53">
        <f>SUM(H73:H76)</f>
        <v>25493.501000000004</v>
      </c>
      <c r="I77" s="53">
        <f>SUM(I73:I76)</f>
        <v>25920.671036</v>
      </c>
      <c r="J77" s="53">
        <f>SUM(J73:J76)</f>
        <v>26886</v>
      </c>
      <c r="K77" s="66"/>
      <c r="L77" s="2"/>
      <c r="M77" s="2"/>
      <c r="N77" s="24"/>
      <c r="O77" s="6" t="s">
        <v>77</v>
      </c>
      <c r="P77" s="53">
        <f t="shared" ref="P77:AU77" si="56">SUM(P73:P76)</f>
        <v>5138.8999999999996</v>
      </c>
      <c r="Q77" s="53">
        <f t="shared" si="56"/>
        <v>5353.9000000000005</v>
      </c>
      <c r="R77" s="53">
        <f t="shared" si="56"/>
        <v>5369.4</v>
      </c>
      <c r="S77" s="53">
        <f t="shared" si="56"/>
        <v>5162.800000000002</v>
      </c>
      <c r="T77" s="53">
        <f t="shared" si="56"/>
        <v>4954.5999999999995</v>
      </c>
      <c r="U77" s="53">
        <f t="shared" si="56"/>
        <v>5341.2999999999993</v>
      </c>
      <c r="V77" s="53">
        <f t="shared" si="56"/>
        <v>5430.6</v>
      </c>
      <c r="W77" s="53">
        <f t="shared" si="56"/>
        <v>5348.5</v>
      </c>
      <c r="X77" s="53">
        <f t="shared" si="56"/>
        <v>4714.8000000000011</v>
      </c>
      <c r="Y77" s="53">
        <f t="shared" si="56"/>
        <v>3761.7000000000003</v>
      </c>
      <c r="Z77" s="53">
        <f t="shared" si="56"/>
        <v>5418.2</v>
      </c>
      <c r="AA77" s="53">
        <f t="shared" si="56"/>
        <v>5313.7</v>
      </c>
      <c r="AB77" s="53">
        <f t="shared" si="56"/>
        <v>5124.8999999999996</v>
      </c>
      <c r="AC77" s="53">
        <f t="shared" si="56"/>
        <v>5887.9000000000005</v>
      </c>
      <c r="AD77" s="53">
        <f t="shared" si="56"/>
        <v>6201.5999999999995</v>
      </c>
      <c r="AE77" s="53">
        <f t="shared" si="56"/>
        <v>6008.6</v>
      </c>
      <c r="AF77" s="53">
        <f t="shared" si="56"/>
        <v>5666.2</v>
      </c>
      <c r="AG77" s="53">
        <f t="shared" si="56"/>
        <v>5717.5</v>
      </c>
      <c r="AH77" s="53">
        <f t="shared" si="56"/>
        <v>5872.1480000000001</v>
      </c>
      <c r="AI77" s="53">
        <f t="shared" si="56"/>
        <v>5926.652</v>
      </c>
      <c r="AJ77" s="53">
        <f t="shared" si="56"/>
        <v>5897.7999999999993</v>
      </c>
      <c r="AK77" s="53">
        <f t="shared" si="56"/>
        <v>6497.9999999999991</v>
      </c>
      <c r="AL77" s="53">
        <f t="shared" si="56"/>
        <v>6692.3</v>
      </c>
      <c r="AM77" s="53">
        <f t="shared" si="56"/>
        <v>6406.4010000000017</v>
      </c>
      <c r="AN77" s="53">
        <f t="shared" si="56"/>
        <v>6168.9151999999995</v>
      </c>
      <c r="AO77" s="53">
        <f t="shared" si="56"/>
        <v>6490</v>
      </c>
      <c r="AP77" s="53">
        <f t="shared" si="56"/>
        <v>6874.0868999999984</v>
      </c>
      <c r="AQ77" s="53">
        <f t="shared" si="56"/>
        <v>6387.6689360000009</v>
      </c>
      <c r="AR77" s="53">
        <f t="shared" si="56"/>
        <v>5956</v>
      </c>
      <c r="AS77" s="53">
        <f t="shared" si="56"/>
        <v>6843</v>
      </c>
      <c r="AT77" s="53">
        <f t="shared" si="56"/>
        <v>7078</v>
      </c>
      <c r="AU77" s="53">
        <f t="shared" si="56"/>
        <v>7009</v>
      </c>
      <c r="AV77" s="34"/>
      <c r="AW77" s="6" t="s">
        <v>77</v>
      </c>
      <c r="AX77"/>
      <c r="AY77"/>
      <c r="AZ77"/>
      <c r="BE77" s="2"/>
      <c r="BF77" s="2"/>
    </row>
    <row r="78" spans="1:58" ht="16.2" thickTop="1" x14ac:dyDescent="0.3">
      <c r="P78" s="67"/>
      <c r="Q78" s="67"/>
      <c r="R78" s="67"/>
      <c r="S78" s="67"/>
      <c r="T78" s="67"/>
      <c r="U78" s="67"/>
      <c r="V78" s="67"/>
      <c r="W78" s="67"/>
      <c r="X78" s="67"/>
      <c r="Y78" s="67"/>
      <c r="Z78" s="67"/>
      <c r="AA78" s="67"/>
      <c r="AB78" s="67"/>
      <c r="AC78" s="67"/>
      <c r="AD78" s="67"/>
      <c r="AE78" s="67"/>
      <c r="AF78" s="67"/>
      <c r="AG78" s="67"/>
      <c r="AI78" s="58"/>
      <c r="AJ78" s="58"/>
      <c r="AK78" s="58"/>
      <c r="AL78" s="58"/>
      <c r="AM78" s="58"/>
      <c r="AN78" s="58"/>
      <c r="AO78" s="58"/>
      <c r="AP78" s="58"/>
      <c r="AQ78" s="58"/>
      <c r="AR78" s="58"/>
      <c r="AS78" s="58"/>
      <c r="AT78" s="58"/>
      <c r="AU78" s="58"/>
      <c r="AV78" s="58"/>
      <c r="AW78" s="51"/>
      <c r="AX78"/>
      <c r="AY78"/>
      <c r="AZ78"/>
      <c r="BE78" s="2"/>
      <c r="BF78" s="2"/>
    </row>
    <row r="79" spans="1:58" x14ac:dyDescent="0.3">
      <c r="B79" s="7" t="s">
        <v>140</v>
      </c>
      <c r="G79" s="58"/>
      <c r="P79" s="67"/>
      <c r="Q79" s="67"/>
      <c r="R79" s="67"/>
      <c r="S79" s="67"/>
      <c r="T79" s="67"/>
      <c r="U79" s="67"/>
      <c r="V79" s="67"/>
      <c r="W79" s="67"/>
      <c r="X79" s="67"/>
      <c r="Y79" s="67"/>
      <c r="Z79" s="67"/>
      <c r="AA79" s="67"/>
      <c r="AB79" s="67"/>
      <c r="AC79" s="68"/>
      <c r="AD79" s="69"/>
      <c r="AE79" s="69"/>
      <c r="AF79" s="69"/>
      <c r="AG79" s="69"/>
      <c r="AI79" s="58"/>
      <c r="AJ79" s="58"/>
      <c r="AK79" s="58"/>
      <c r="AL79" s="58"/>
      <c r="AM79" s="58"/>
      <c r="AN79" s="58"/>
      <c r="AO79" s="58"/>
      <c r="AP79" s="58"/>
      <c r="AQ79" s="58"/>
      <c r="AR79" s="70"/>
      <c r="AS79" s="70"/>
      <c r="AT79" s="70"/>
      <c r="AU79" s="58"/>
      <c r="AV79" s="58"/>
      <c r="AW79" s="51"/>
      <c r="AX79"/>
      <c r="AY79"/>
      <c r="AZ79"/>
      <c r="BE79" s="2"/>
      <c r="BF79" s="2"/>
    </row>
    <row r="80" spans="1:58" x14ac:dyDescent="0.3">
      <c r="P80" s="67"/>
      <c r="Q80" s="67"/>
      <c r="R80" s="67"/>
      <c r="S80" s="67"/>
      <c r="T80" s="67"/>
      <c r="U80" s="67"/>
      <c r="V80" s="67"/>
      <c r="W80" s="67"/>
      <c r="X80" s="67"/>
      <c r="Y80" s="67"/>
      <c r="Z80" s="67"/>
      <c r="AA80" s="67"/>
      <c r="AB80" s="67"/>
      <c r="AC80" s="67"/>
      <c r="AD80" s="67"/>
      <c r="AE80" s="67"/>
      <c r="AF80" s="67"/>
      <c r="AG80" s="67"/>
      <c r="AI80" s="58"/>
      <c r="AJ80" s="58"/>
      <c r="AK80" s="58"/>
      <c r="AL80" s="58"/>
      <c r="AM80" s="58"/>
      <c r="AN80" s="58"/>
      <c r="AO80" s="58"/>
      <c r="AP80" s="58"/>
      <c r="AQ80" s="58"/>
      <c r="AR80" s="58"/>
      <c r="AS80" s="58"/>
      <c r="AT80" s="58"/>
      <c r="AU80" s="32"/>
      <c r="AV80" s="32"/>
      <c r="AW80" s="7"/>
      <c r="AX80" s="7"/>
      <c r="AY80" s="71"/>
      <c r="AZ80" s="71"/>
      <c r="BB80"/>
      <c r="BC80"/>
      <c r="BD80"/>
    </row>
    <row r="81" spans="1:60" x14ac:dyDescent="0.3">
      <c r="P81" s="67"/>
      <c r="Q81" s="67"/>
      <c r="R81" s="67"/>
      <c r="S81" s="67"/>
      <c r="T81" s="67"/>
      <c r="U81" s="67"/>
      <c r="V81" s="67"/>
      <c r="W81" s="67"/>
      <c r="X81" s="67"/>
      <c r="Y81" s="67"/>
      <c r="Z81" s="67"/>
      <c r="AA81" s="67"/>
      <c r="AB81" s="67"/>
      <c r="AC81" s="67"/>
      <c r="AD81" s="67"/>
      <c r="AE81" s="67"/>
      <c r="AF81" s="67"/>
      <c r="AG81" s="67"/>
      <c r="AI81"/>
      <c r="AJ81"/>
      <c r="AK81"/>
      <c r="AL81"/>
      <c r="AM81"/>
      <c r="AN81"/>
      <c r="AO81"/>
      <c r="AP81"/>
      <c r="AQ81"/>
      <c r="AR81"/>
      <c r="AS81"/>
      <c r="AT81"/>
      <c r="AU81" s="32"/>
      <c r="AV81" s="32"/>
      <c r="AW81" s="7"/>
      <c r="AX81" s="7"/>
      <c r="AY81" s="71"/>
      <c r="AZ81" s="71"/>
      <c r="BB81"/>
      <c r="BC81"/>
      <c r="BD81"/>
    </row>
    <row r="82" spans="1:60" s="7" customFormat="1" ht="18" customHeight="1" x14ac:dyDescent="0.3">
      <c r="A82" s="6" t="s">
        <v>141</v>
      </c>
      <c r="C82" s="8">
        <v>2018</v>
      </c>
      <c r="D82" s="8">
        <v>2019</v>
      </c>
      <c r="E82" s="8">
        <v>2020</v>
      </c>
      <c r="F82" s="72">
        <v>2021</v>
      </c>
      <c r="G82" s="10">
        <v>2022</v>
      </c>
      <c r="H82" s="11">
        <v>2023</v>
      </c>
      <c r="I82" s="12">
        <v>2024</v>
      </c>
      <c r="J82" s="13">
        <v>2025</v>
      </c>
      <c r="K82" s="15" t="s">
        <v>99</v>
      </c>
      <c r="L82" s="15"/>
      <c r="M82" s="15"/>
      <c r="N82" s="6" t="s">
        <v>141</v>
      </c>
      <c r="P82" s="16" t="s">
        <v>125</v>
      </c>
      <c r="Q82" s="16" t="s">
        <v>126</v>
      </c>
      <c r="R82" s="16" t="s">
        <v>9</v>
      </c>
      <c r="S82" s="17" t="s">
        <v>100</v>
      </c>
      <c r="T82" s="16" t="s">
        <v>11</v>
      </c>
      <c r="U82" s="16" t="s">
        <v>12</v>
      </c>
      <c r="V82" s="16" t="s">
        <v>101</v>
      </c>
      <c r="W82" s="17" t="s">
        <v>102</v>
      </c>
      <c r="X82" s="16" t="s">
        <v>103</v>
      </c>
      <c r="Y82" s="16" t="s">
        <v>104</v>
      </c>
      <c r="Z82" s="16" t="s">
        <v>105</v>
      </c>
      <c r="AA82" s="17" t="s">
        <v>106</v>
      </c>
      <c r="AB82" s="16" t="s">
        <v>107</v>
      </c>
      <c r="AC82" s="16" t="s">
        <v>108</v>
      </c>
      <c r="AD82" s="16" t="s">
        <v>109</v>
      </c>
      <c r="AE82" s="17" t="s">
        <v>110</v>
      </c>
      <c r="AF82" s="16" t="s">
        <v>111</v>
      </c>
      <c r="AG82" s="16" t="s">
        <v>112</v>
      </c>
      <c r="AH82" s="16" t="s">
        <v>113</v>
      </c>
      <c r="AI82" s="17" t="s">
        <v>114</v>
      </c>
      <c r="AJ82" s="16" t="s">
        <v>115</v>
      </c>
      <c r="AK82" s="16" t="s">
        <v>116</v>
      </c>
      <c r="AL82" s="16" t="s">
        <v>117</v>
      </c>
      <c r="AM82" s="17" t="s">
        <v>30</v>
      </c>
      <c r="AN82" s="16" t="s">
        <v>31</v>
      </c>
      <c r="AO82" s="16" t="s">
        <v>32</v>
      </c>
      <c r="AP82" s="16" t="s">
        <v>118</v>
      </c>
      <c r="AQ82" s="17" t="s">
        <v>119</v>
      </c>
      <c r="AR82" s="16" t="s">
        <v>120</v>
      </c>
      <c r="AS82" s="16" t="s">
        <v>121</v>
      </c>
      <c r="AT82" s="16" t="s">
        <v>127</v>
      </c>
      <c r="AU82" s="17" t="s">
        <v>122</v>
      </c>
      <c r="BB82" s="8"/>
      <c r="BC82" s="20" t="s">
        <v>123</v>
      </c>
      <c r="BD82" s="20" t="s">
        <v>39</v>
      </c>
      <c r="BE82" s="20" t="s">
        <v>41</v>
      </c>
      <c r="BF82" s="20" t="s">
        <v>42</v>
      </c>
      <c r="BH82" s="21"/>
    </row>
    <row r="83" spans="1:60" s="7" customFormat="1" ht="18" customHeight="1" x14ac:dyDescent="0.3">
      <c r="A83" s="24" t="s">
        <v>43</v>
      </c>
      <c r="B83" s="7" t="s">
        <v>44</v>
      </c>
      <c r="C83" s="30">
        <v>5357</v>
      </c>
      <c r="D83" s="30">
        <v>5603</v>
      </c>
      <c r="E83" s="30">
        <v>4968</v>
      </c>
      <c r="F83" s="26">
        <v>5739</v>
      </c>
      <c r="G83" s="62">
        <v>6505</v>
      </c>
      <c r="H83" s="36">
        <v>7022</v>
      </c>
      <c r="I83" s="36">
        <v>8406</v>
      </c>
      <c r="J83" s="27">
        <v>9434</v>
      </c>
      <c r="K83" s="36"/>
      <c r="L83" s="26"/>
      <c r="M83" s="26"/>
      <c r="N83" s="24" t="s">
        <v>43</v>
      </c>
      <c r="O83" s="7" t="s">
        <v>44</v>
      </c>
      <c r="P83" s="73">
        <v>1254</v>
      </c>
      <c r="Q83" s="73">
        <v>1343</v>
      </c>
      <c r="R83" s="73">
        <v>1375</v>
      </c>
      <c r="S83" s="30">
        <v>1384.5</v>
      </c>
      <c r="T83" s="30">
        <v>1266</v>
      </c>
      <c r="U83" s="30">
        <v>1400</v>
      </c>
      <c r="V83" s="30">
        <v>1458</v>
      </c>
      <c r="W83" s="30">
        <v>1479</v>
      </c>
      <c r="X83" s="30">
        <v>1225</v>
      </c>
      <c r="Y83" s="30">
        <v>1048</v>
      </c>
      <c r="Z83" s="30">
        <v>1337</v>
      </c>
      <c r="AA83" s="30">
        <v>1358</v>
      </c>
      <c r="AB83" s="30">
        <v>1260</v>
      </c>
      <c r="AC83" s="30">
        <v>1438</v>
      </c>
      <c r="AD83" s="30">
        <v>1495</v>
      </c>
      <c r="AE83" s="30">
        <v>1546</v>
      </c>
      <c r="AF83" s="30">
        <v>1451</v>
      </c>
      <c r="AG83" s="30">
        <v>1639</v>
      </c>
      <c r="AH83" s="30">
        <v>1726</v>
      </c>
      <c r="AI83" s="30">
        <v>1689</v>
      </c>
      <c r="AJ83" s="30">
        <v>1590</v>
      </c>
      <c r="AK83" s="30">
        <v>1775</v>
      </c>
      <c r="AL83" s="30">
        <v>1837</v>
      </c>
      <c r="AM83" s="30">
        <v>1820</v>
      </c>
      <c r="AN83" s="30">
        <v>1739</v>
      </c>
      <c r="AO83" s="30">
        <v>2080</v>
      </c>
      <c r="AP83" s="30">
        <v>2291</v>
      </c>
      <c r="AQ83" s="30">
        <v>2296</v>
      </c>
      <c r="AR83" s="30">
        <v>2109</v>
      </c>
      <c r="AS83" s="30">
        <v>2410</v>
      </c>
      <c r="AT83" s="30">
        <v>2449</v>
      </c>
      <c r="AU83" s="30">
        <v>2466</v>
      </c>
      <c r="AW83" s="7" t="s">
        <v>44</v>
      </c>
      <c r="AX83" s="32" t="s">
        <v>43</v>
      </c>
      <c r="BB83" s="32" t="s">
        <v>142</v>
      </c>
      <c r="BC83" s="34">
        <f t="shared" ref="BC83" si="57">SUM(AN83:AQ83)</f>
        <v>8406</v>
      </c>
      <c r="BD83" s="34">
        <f t="shared" ref="BD83" si="58">SUM(AR83:AU83)</f>
        <v>9434</v>
      </c>
      <c r="BE83" s="35">
        <f t="shared" ref="BE83" si="59">(BD83-BC83)/ABS(BC83)</f>
        <v>0.12229359980965977</v>
      </c>
      <c r="BF83" s="35">
        <f t="shared" ref="BF83" si="60">(AU83/AP83)^(1/5)-1</f>
        <v>1.4830699697888194E-2</v>
      </c>
      <c r="BH83" s="21"/>
    </row>
    <row r="84" spans="1:60" s="7" customFormat="1" ht="18" customHeight="1" x14ac:dyDescent="0.3">
      <c r="A84" s="24" t="s">
        <v>43</v>
      </c>
      <c r="B84" s="7" t="s">
        <v>46</v>
      </c>
      <c r="C84" s="29">
        <v>3117.2383</v>
      </c>
      <c r="D84" s="29">
        <v>3249.74</v>
      </c>
      <c r="E84" s="29">
        <v>2831.7599999999998</v>
      </c>
      <c r="F84" s="26">
        <v>3849</v>
      </c>
      <c r="G84" s="62">
        <v>3359</v>
      </c>
      <c r="H84" s="62">
        <v>3244</v>
      </c>
      <c r="I84" s="36">
        <v>3024</v>
      </c>
      <c r="J84" s="27">
        <v>3193</v>
      </c>
      <c r="K84" s="36"/>
      <c r="L84" s="26"/>
      <c r="M84" s="26"/>
      <c r="N84" s="24" t="s">
        <v>43</v>
      </c>
      <c r="O84" s="7" t="s">
        <v>46</v>
      </c>
      <c r="P84" s="30">
        <v>825</v>
      </c>
      <c r="Q84" s="30">
        <v>894</v>
      </c>
      <c r="R84" s="30">
        <v>905</v>
      </c>
      <c r="S84" s="30">
        <v>810</v>
      </c>
      <c r="T84" s="36">
        <v>860</v>
      </c>
      <c r="U84" s="36">
        <v>947</v>
      </c>
      <c r="V84" s="36">
        <v>983</v>
      </c>
      <c r="W84" s="36">
        <v>1000</v>
      </c>
      <c r="X84" s="36">
        <v>826</v>
      </c>
      <c r="Y84" s="36">
        <v>709</v>
      </c>
      <c r="Z84" s="36">
        <v>919</v>
      </c>
      <c r="AA84" s="36">
        <v>904</v>
      </c>
      <c r="AB84" s="36">
        <v>859</v>
      </c>
      <c r="AC84" s="36">
        <v>971</v>
      </c>
      <c r="AD84" s="36">
        <v>1005</v>
      </c>
      <c r="AE84" s="36">
        <v>1014</v>
      </c>
      <c r="AF84" s="36">
        <v>957</v>
      </c>
      <c r="AG84" s="36">
        <v>1055</v>
      </c>
      <c r="AH84" s="36">
        <v>698</v>
      </c>
      <c r="AI84" s="36">
        <v>649</v>
      </c>
      <c r="AJ84" s="36">
        <v>646</v>
      </c>
      <c r="AK84" s="36">
        <v>1163</v>
      </c>
      <c r="AL84" s="36">
        <v>762</v>
      </c>
      <c r="AM84" s="36">
        <v>673</v>
      </c>
      <c r="AN84" s="36">
        <v>696</v>
      </c>
      <c r="AO84" s="36">
        <v>786</v>
      </c>
      <c r="AP84" s="36">
        <v>798</v>
      </c>
      <c r="AQ84" s="36">
        <v>744</v>
      </c>
      <c r="AR84" s="36">
        <v>704</v>
      </c>
      <c r="AS84" s="36">
        <v>815</v>
      </c>
      <c r="AT84" s="36">
        <v>843</v>
      </c>
      <c r="AU84" s="36">
        <v>831</v>
      </c>
      <c r="AW84" s="7" t="s">
        <v>46</v>
      </c>
      <c r="AX84" s="32" t="s">
        <v>43</v>
      </c>
      <c r="BH84" s="21"/>
    </row>
    <row r="85" spans="1:60" s="7" customFormat="1" ht="18" customHeight="1" x14ac:dyDescent="0.3">
      <c r="A85" s="24" t="s">
        <v>43</v>
      </c>
      <c r="B85" s="7" t="s">
        <v>47</v>
      </c>
      <c r="C85" s="30">
        <v>1937</v>
      </c>
      <c r="D85" s="30">
        <v>2027</v>
      </c>
      <c r="E85" s="30">
        <v>1582</v>
      </c>
      <c r="F85" s="26">
        <v>1868</v>
      </c>
      <c r="G85" s="62">
        <v>1898</v>
      </c>
      <c r="H85" s="36">
        <v>2132</v>
      </c>
      <c r="I85" s="27">
        <v>2392</v>
      </c>
      <c r="J85" s="27">
        <v>2224</v>
      </c>
      <c r="K85" s="36"/>
      <c r="L85" s="26"/>
      <c r="M85" s="26"/>
      <c r="N85" s="24" t="s">
        <v>43</v>
      </c>
      <c r="O85" s="7" t="s">
        <v>47</v>
      </c>
      <c r="P85" s="30">
        <v>421</v>
      </c>
      <c r="Q85" s="30">
        <v>502</v>
      </c>
      <c r="R85" s="30">
        <v>478</v>
      </c>
      <c r="S85" s="30">
        <v>516.5</v>
      </c>
      <c r="T85" s="30">
        <v>434</v>
      </c>
      <c r="U85" s="30">
        <v>491</v>
      </c>
      <c r="V85" s="30">
        <v>567</v>
      </c>
      <c r="W85" s="30">
        <v>492</v>
      </c>
      <c r="X85" s="30">
        <v>389</v>
      </c>
      <c r="Y85" s="30">
        <v>243</v>
      </c>
      <c r="Z85" s="30">
        <v>417</v>
      </c>
      <c r="AA85" s="30">
        <v>275</v>
      </c>
      <c r="AB85" s="30">
        <v>442</v>
      </c>
      <c r="AC85" s="30">
        <v>488</v>
      </c>
      <c r="AD85" s="30">
        <v>522</v>
      </c>
      <c r="AE85" s="30">
        <v>416</v>
      </c>
      <c r="AF85" s="30">
        <v>450</v>
      </c>
      <c r="AG85" s="30">
        <v>541</v>
      </c>
      <c r="AH85" s="30">
        <v>569</v>
      </c>
      <c r="AI85" s="30">
        <v>338</v>
      </c>
      <c r="AJ85" s="30">
        <v>485</v>
      </c>
      <c r="AK85" s="30">
        <v>554</v>
      </c>
      <c r="AL85" s="30">
        <v>601</v>
      </c>
      <c r="AM85" s="30">
        <v>492</v>
      </c>
      <c r="AN85" s="30">
        <v>526</v>
      </c>
      <c r="AO85" s="30">
        <v>612</v>
      </c>
      <c r="AP85" s="30">
        <v>628</v>
      </c>
      <c r="AQ85" s="30">
        <v>626</v>
      </c>
      <c r="AR85" s="30">
        <v>430</v>
      </c>
      <c r="AS85" s="30">
        <v>478</v>
      </c>
      <c r="AT85" s="30">
        <v>679</v>
      </c>
      <c r="AU85" s="30">
        <v>637</v>
      </c>
      <c r="AW85" s="7" t="s">
        <v>47</v>
      </c>
      <c r="AX85" s="32" t="s">
        <v>43</v>
      </c>
      <c r="BH85" s="21"/>
    </row>
    <row r="86" spans="1:60" s="7" customFormat="1" ht="18" customHeight="1" x14ac:dyDescent="0.3">
      <c r="A86" s="24" t="s">
        <v>43</v>
      </c>
      <c r="B86" s="7" t="s">
        <v>48</v>
      </c>
      <c r="C86" s="30">
        <v>612</v>
      </c>
      <c r="D86" s="30">
        <v>643</v>
      </c>
      <c r="E86" s="30">
        <v>486</v>
      </c>
      <c r="F86" s="26">
        <v>838</v>
      </c>
      <c r="G86" s="62">
        <v>1008</v>
      </c>
      <c r="H86" s="36">
        <v>1190</v>
      </c>
      <c r="I86" s="27">
        <v>1021</v>
      </c>
      <c r="J86" s="27">
        <v>776</v>
      </c>
      <c r="K86" s="36"/>
      <c r="L86" s="26"/>
      <c r="M86" s="26"/>
      <c r="N86" s="24" t="s">
        <v>43</v>
      </c>
      <c r="O86" s="7" t="s">
        <v>48</v>
      </c>
      <c r="P86" s="30">
        <v>148</v>
      </c>
      <c r="Q86" s="30">
        <v>167</v>
      </c>
      <c r="R86" s="30">
        <v>134</v>
      </c>
      <c r="S86" s="30">
        <v>163</v>
      </c>
      <c r="T86" s="30">
        <v>135</v>
      </c>
      <c r="U86" s="30">
        <v>142</v>
      </c>
      <c r="V86" s="30">
        <v>201</v>
      </c>
      <c r="W86" s="30">
        <v>165</v>
      </c>
      <c r="X86" s="30">
        <v>144</v>
      </c>
      <c r="Y86" s="30">
        <v>106</v>
      </c>
      <c r="Z86" s="30">
        <v>145</v>
      </c>
      <c r="AA86" s="30">
        <v>91</v>
      </c>
      <c r="AB86" s="30">
        <v>179</v>
      </c>
      <c r="AC86" s="30">
        <v>259</v>
      </c>
      <c r="AD86" s="30">
        <v>221</v>
      </c>
      <c r="AE86" s="30">
        <v>179</v>
      </c>
      <c r="AF86" s="30">
        <v>183</v>
      </c>
      <c r="AG86" s="30">
        <v>236</v>
      </c>
      <c r="AH86" s="30">
        <v>360</v>
      </c>
      <c r="AI86" s="30">
        <v>229</v>
      </c>
      <c r="AJ86" s="30">
        <v>189</v>
      </c>
      <c r="AK86" s="30">
        <v>241</v>
      </c>
      <c r="AL86" s="30">
        <v>252</v>
      </c>
      <c r="AM86" s="30">
        <v>508</v>
      </c>
      <c r="AN86" s="30">
        <v>230</v>
      </c>
      <c r="AO86" s="30">
        <v>280</v>
      </c>
      <c r="AP86" s="30">
        <v>252</v>
      </c>
      <c r="AQ86" s="30">
        <v>259</v>
      </c>
      <c r="AR86" s="30">
        <v>159</v>
      </c>
      <c r="AS86" s="30">
        <v>189</v>
      </c>
      <c r="AT86" s="30">
        <v>315</v>
      </c>
      <c r="AU86" s="30">
        <v>113</v>
      </c>
      <c r="AW86" s="7" t="s">
        <v>48</v>
      </c>
      <c r="AX86" s="32" t="s">
        <v>43</v>
      </c>
      <c r="BH86" s="21"/>
    </row>
    <row r="87" spans="1:60" s="7" customFormat="1" ht="18" customHeight="1" x14ac:dyDescent="0.3">
      <c r="A87" s="24" t="s">
        <v>43</v>
      </c>
      <c r="B87" s="39" t="s">
        <v>49</v>
      </c>
      <c r="C87" s="50">
        <v>1165</v>
      </c>
      <c r="D87" s="50">
        <v>1476</v>
      </c>
      <c r="E87" s="50">
        <v>921</v>
      </c>
      <c r="F87" s="26">
        <v>1354</v>
      </c>
      <c r="G87" s="26">
        <v>1490</v>
      </c>
      <c r="H87" s="40">
        <v>1323</v>
      </c>
      <c r="I87" s="34">
        <v>1503</v>
      </c>
      <c r="J87" s="40">
        <v>1567</v>
      </c>
      <c r="K87" s="40"/>
      <c r="L87" s="40"/>
      <c r="M87" s="40"/>
      <c r="N87" s="24" t="s">
        <v>50</v>
      </c>
      <c r="O87" s="7" t="s">
        <v>51</v>
      </c>
      <c r="P87" s="35">
        <f t="shared" ref="P87:R87" si="61">P86/P83</f>
        <v>0.11802232854864433</v>
      </c>
      <c r="Q87" s="35">
        <f t="shared" si="61"/>
        <v>0.12434847356664185</v>
      </c>
      <c r="R87" s="35">
        <f t="shared" si="61"/>
        <v>9.745454545454546E-2</v>
      </c>
      <c r="S87" s="35">
        <f>S86/S83</f>
        <v>0.11773203322499097</v>
      </c>
      <c r="T87" s="35">
        <f>T86/T83</f>
        <v>0.1066350710900474</v>
      </c>
      <c r="U87" s="35">
        <f>U86/U83</f>
        <v>0.10142857142857142</v>
      </c>
      <c r="V87" s="35">
        <f>V86/V83</f>
        <v>0.13786008230452676</v>
      </c>
      <c r="W87" s="35">
        <f>W86/W83</f>
        <v>0.11156186612576065</v>
      </c>
      <c r="X87" s="35">
        <f t="shared" ref="X87:AU87" si="62">X86/X83</f>
        <v>0.11755102040816326</v>
      </c>
      <c r="Y87" s="35">
        <f t="shared" si="62"/>
        <v>0.10114503816793893</v>
      </c>
      <c r="Z87" s="35">
        <f t="shared" si="62"/>
        <v>0.10845175766641735</v>
      </c>
      <c r="AA87" s="35">
        <f t="shared" si="62"/>
        <v>6.7010309278350513E-2</v>
      </c>
      <c r="AB87" s="35">
        <f t="shared" si="62"/>
        <v>0.14206349206349206</v>
      </c>
      <c r="AC87" s="35">
        <f t="shared" si="62"/>
        <v>0.18011126564673158</v>
      </c>
      <c r="AD87" s="35">
        <f t="shared" si="62"/>
        <v>0.14782608695652175</v>
      </c>
      <c r="AE87" s="35">
        <f t="shared" si="62"/>
        <v>0.11578266494178525</v>
      </c>
      <c r="AF87" s="35">
        <f t="shared" si="62"/>
        <v>0.12611991729841487</v>
      </c>
      <c r="AG87" s="35">
        <f t="shared" si="62"/>
        <v>0.14399023794996949</v>
      </c>
      <c r="AH87" s="35">
        <f t="shared" si="62"/>
        <v>0.20857473928157591</v>
      </c>
      <c r="AI87" s="35">
        <f t="shared" si="62"/>
        <v>0.13558318531675548</v>
      </c>
      <c r="AJ87" s="35">
        <f t="shared" si="62"/>
        <v>0.11886792452830189</v>
      </c>
      <c r="AK87" s="35">
        <f t="shared" si="62"/>
        <v>0.13577464788732393</v>
      </c>
      <c r="AL87" s="35">
        <f t="shared" si="62"/>
        <v>0.13718018508437671</v>
      </c>
      <c r="AM87" s="35">
        <f t="shared" si="62"/>
        <v>0.27912087912087913</v>
      </c>
      <c r="AN87" s="35">
        <f t="shared" si="62"/>
        <v>0.13225991949396204</v>
      </c>
      <c r="AO87" s="35">
        <f t="shared" si="62"/>
        <v>0.13461538461538461</v>
      </c>
      <c r="AP87" s="35">
        <f t="shared" si="62"/>
        <v>0.10999563509384548</v>
      </c>
      <c r="AQ87" s="35">
        <f t="shared" si="62"/>
        <v>0.11280487804878049</v>
      </c>
      <c r="AR87" s="35">
        <f t="shared" si="62"/>
        <v>7.5391180654338544E-2</v>
      </c>
      <c r="AS87" s="35">
        <f t="shared" si="62"/>
        <v>7.8423236514522821E-2</v>
      </c>
      <c r="AT87" s="35">
        <f t="shared" si="62"/>
        <v>0.12862392813393222</v>
      </c>
      <c r="AU87" s="35">
        <f t="shared" si="62"/>
        <v>4.5823195458231956E-2</v>
      </c>
      <c r="AW87" s="7" t="s">
        <v>51</v>
      </c>
      <c r="AX87" s="32" t="s">
        <v>50</v>
      </c>
      <c r="BH87" s="21"/>
    </row>
    <row r="88" spans="1:60" s="7" customFormat="1" ht="18" customHeight="1" x14ac:dyDescent="0.3">
      <c r="A88" s="24" t="s">
        <v>43</v>
      </c>
      <c r="B88" s="39" t="s">
        <v>52</v>
      </c>
      <c r="C88" s="50">
        <v>1079</v>
      </c>
      <c r="D88" s="50">
        <v>1414</v>
      </c>
      <c r="E88" s="50">
        <v>804</v>
      </c>
      <c r="F88" s="26">
        <v>1271</v>
      </c>
      <c r="G88" s="26">
        <v>1390</v>
      </c>
      <c r="H88" s="40">
        <v>1203</v>
      </c>
      <c r="I88" s="34">
        <v>1302</v>
      </c>
      <c r="J88" s="40">
        <v>1302</v>
      </c>
      <c r="K88" s="40"/>
      <c r="L88" s="40"/>
      <c r="M88" s="40"/>
      <c r="N88" s="24" t="s">
        <v>50</v>
      </c>
      <c r="O88" s="7" t="s">
        <v>53</v>
      </c>
      <c r="P88" s="35">
        <f t="shared" ref="P88:R88" si="63">P84/P83</f>
        <v>0.65789473684210531</v>
      </c>
      <c r="Q88" s="35">
        <f t="shared" si="63"/>
        <v>0.66567386448250188</v>
      </c>
      <c r="R88" s="35">
        <f t="shared" si="63"/>
        <v>0.6581818181818182</v>
      </c>
      <c r="S88" s="35">
        <f>S84/S83</f>
        <v>0.58504875406283852</v>
      </c>
      <c r="T88" s="35">
        <f>T84/T83</f>
        <v>0.67930489731437593</v>
      </c>
      <c r="U88" s="35">
        <f>U84/U83</f>
        <v>0.67642857142857138</v>
      </c>
      <c r="V88" s="35">
        <f>V84/V83</f>
        <v>0.67421124828532231</v>
      </c>
      <c r="W88" s="35">
        <f>W84/W83</f>
        <v>0.67613252197430695</v>
      </c>
      <c r="X88" s="35">
        <f t="shared" ref="X88:AU88" si="64">X84/X83</f>
        <v>0.67428571428571427</v>
      </c>
      <c r="Y88" s="35">
        <f t="shared" si="64"/>
        <v>0.67652671755725191</v>
      </c>
      <c r="Z88" s="35">
        <f t="shared" si="64"/>
        <v>0.68735976065818993</v>
      </c>
      <c r="AA88" s="35">
        <f t="shared" si="64"/>
        <v>0.66568483063328421</v>
      </c>
      <c r="AB88" s="35">
        <f t="shared" si="64"/>
        <v>0.68174603174603177</v>
      </c>
      <c r="AC88" s="35">
        <f t="shared" si="64"/>
        <v>0.67524339360222529</v>
      </c>
      <c r="AD88" s="35">
        <f t="shared" si="64"/>
        <v>0.67224080267558528</v>
      </c>
      <c r="AE88" s="35">
        <f t="shared" si="64"/>
        <v>0.65588615782664939</v>
      </c>
      <c r="AF88" s="35">
        <f t="shared" si="64"/>
        <v>0.65954514128187458</v>
      </c>
      <c r="AG88" s="35">
        <f t="shared" si="64"/>
        <v>0.64368517388651614</v>
      </c>
      <c r="AH88" s="35">
        <f t="shared" si="64"/>
        <v>0.40440324449594439</v>
      </c>
      <c r="AI88" s="35">
        <f t="shared" si="64"/>
        <v>0.384251036116045</v>
      </c>
      <c r="AJ88" s="35">
        <f t="shared" si="64"/>
        <v>0.40628930817610065</v>
      </c>
      <c r="AK88" s="35">
        <f t="shared" si="64"/>
        <v>0.65521126760563375</v>
      </c>
      <c r="AL88" s="35">
        <f t="shared" si="64"/>
        <v>0.41480675013609147</v>
      </c>
      <c r="AM88" s="35">
        <f t="shared" si="64"/>
        <v>0.3697802197802198</v>
      </c>
      <c r="AN88" s="35">
        <f t="shared" si="64"/>
        <v>0.40023001725129387</v>
      </c>
      <c r="AO88" s="35">
        <f t="shared" si="64"/>
        <v>0.37788461538461537</v>
      </c>
      <c r="AP88" s="35">
        <f t="shared" si="64"/>
        <v>0.34831951113051068</v>
      </c>
      <c r="AQ88" s="35">
        <f t="shared" si="64"/>
        <v>0.3240418118466899</v>
      </c>
      <c r="AR88" s="35">
        <f t="shared" si="64"/>
        <v>0.33380749170222856</v>
      </c>
      <c r="AS88" s="35">
        <f t="shared" si="64"/>
        <v>0.33817427385892118</v>
      </c>
      <c r="AT88" s="35">
        <f t="shared" si="64"/>
        <v>0.34422213148223763</v>
      </c>
      <c r="AU88" s="35">
        <f t="shared" si="64"/>
        <v>0.33698296836982966</v>
      </c>
      <c r="AW88" s="7" t="s">
        <v>53</v>
      </c>
      <c r="AX88" s="32" t="s">
        <v>50</v>
      </c>
      <c r="BH88" s="21"/>
    </row>
    <row r="89" spans="1:60" s="7" customFormat="1" ht="18" customHeight="1" x14ac:dyDescent="0.3">
      <c r="A89" s="24" t="s">
        <v>50</v>
      </c>
      <c r="B89" s="7" t="s">
        <v>54</v>
      </c>
      <c r="C89" s="63">
        <v>17.059999999999999</v>
      </c>
      <c r="D89" s="63">
        <v>4.59</v>
      </c>
      <c r="E89" s="65">
        <v>-11.333214349455648</v>
      </c>
      <c r="F89" s="44">
        <v>15.519323671497585</v>
      </c>
      <c r="G89" s="44">
        <v>13.347273044084334</v>
      </c>
      <c r="H89" s="64">
        <v>7.947732513451192</v>
      </c>
      <c r="I89" s="44">
        <v>19.709484477356877</v>
      </c>
      <c r="J89" s="45">
        <v>12.229359980965977</v>
      </c>
      <c r="K89" s="44"/>
      <c r="L89" s="44"/>
      <c r="M89" s="44"/>
      <c r="N89" s="49"/>
      <c r="O89" s="24"/>
      <c r="P89" s="35"/>
      <c r="Q89" s="35"/>
      <c r="R89" s="35"/>
      <c r="S89" s="35"/>
      <c r="T89" s="35"/>
      <c r="BH89" s="21"/>
    </row>
    <row r="90" spans="1:60" s="7" customFormat="1" ht="18" customHeight="1" x14ac:dyDescent="0.3">
      <c r="A90" s="24" t="s">
        <v>50</v>
      </c>
      <c r="B90" s="7" t="s">
        <v>55</v>
      </c>
      <c r="C90" s="63">
        <v>2.74</v>
      </c>
      <c r="D90" s="63">
        <v>4.1100000000000003</v>
      </c>
      <c r="E90" s="65">
        <v>-21.95362604834731</v>
      </c>
      <c r="F90" s="44">
        <v>18.078381795195956</v>
      </c>
      <c r="G90" s="44">
        <v>1.6059957173447537</v>
      </c>
      <c r="H90" s="64">
        <v>12.328767123287671</v>
      </c>
      <c r="I90" s="44">
        <v>12.195121951219512</v>
      </c>
      <c r="J90" s="45">
        <v>-7.023411371237458</v>
      </c>
      <c r="K90" s="44"/>
      <c r="L90" s="44"/>
      <c r="M90" s="44"/>
      <c r="N90" s="49"/>
      <c r="O90" s="24"/>
      <c r="P90" s="35"/>
      <c r="Q90" s="35"/>
      <c r="R90" s="35"/>
      <c r="S90" s="35"/>
      <c r="T90" s="35"/>
      <c r="AG90" s="36"/>
      <c r="BH90" s="21"/>
    </row>
    <row r="91" spans="1:60" s="7" customFormat="1" ht="18" customHeight="1" x14ac:dyDescent="0.3">
      <c r="A91" s="24" t="s">
        <v>50</v>
      </c>
      <c r="B91" s="7" t="s">
        <v>56</v>
      </c>
      <c r="C91" s="63">
        <v>-7.37</v>
      </c>
      <c r="D91" s="63">
        <v>-2.97</v>
      </c>
      <c r="E91" s="65">
        <v>-24.416796267496114</v>
      </c>
      <c r="F91" s="44">
        <v>72.427983539094654</v>
      </c>
      <c r="G91" s="44">
        <v>20.286396181384248</v>
      </c>
      <c r="H91" s="64">
        <v>18.055555555555554</v>
      </c>
      <c r="I91" s="44">
        <v>-14.201680672268907</v>
      </c>
      <c r="J91" s="45">
        <v>-23.996082272282077</v>
      </c>
      <c r="K91" s="44"/>
      <c r="L91" s="44"/>
      <c r="M91" s="44"/>
      <c r="N91" s="49"/>
      <c r="O91" s="24"/>
      <c r="P91" s="35"/>
      <c r="Q91" s="35"/>
      <c r="R91" s="35"/>
      <c r="S91" s="35"/>
      <c r="T91" s="35"/>
      <c r="BH91" s="21"/>
    </row>
    <row r="92" spans="1:60" s="7" customFormat="1" ht="18" customHeight="1" x14ac:dyDescent="0.3">
      <c r="A92" s="24" t="s">
        <v>57</v>
      </c>
      <c r="B92" s="7" t="s">
        <v>58</v>
      </c>
      <c r="C92" s="49">
        <v>11.424304648123949</v>
      </c>
      <c r="D92" s="49">
        <v>11.475995002677138</v>
      </c>
      <c r="E92" s="49">
        <v>9.7826086956521738</v>
      </c>
      <c r="F92" s="44">
        <v>14.601847011674508</v>
      </c>
      <c r="G92" s="44">
        <v>15.495772482705611</v>
      </c>
      <c r="H92" s="22">
        <v>16.946738820848761</v>
      </c>
      <c r="I92" s="44">
        <v>12.146086128955508</v>
      </c>
      <c r="J92" s="45">
        <v>8.2255670977316093</v>
      </c>
      <c r="K92" s="44"/>
      <c r="L92" s="44"/>
      <c r="M92" s="44"/>
      <c r="N92" s="49"/>
      <c r="T92" s="36"/>
      <c r="BH92" s="21"/>
    </row>
    <row r="93" spans="1:60" s="7" customFormat="1" ht="18" customHeight="1" x14ac:dyDescent="0.3">
      <c r="A93" s="24" t="s">
        <v>57</v>
      </c>
      <c r="B93" s="7" t="s">
        <v>59</v>
      </c>
      <c r="C93" s="63">
        <v>58.19</v>
      </c>
      <c r="D93" s="63">
        <v>58</v>
      </c>
      <c r="E93" s="63">
        <v>57</v>
      </c>
      <c r="F93" s="44">
        <v>41.8</v>
      </c>
      <c r="G93" s="44">
        <v>51.637202152190618</v>
      </c>
      <c r="H93" s="64">
        <v>46.197664483053266</v>
      </c>
      <c r="I93" s="44">
        <v>35.974304068522486</v>
      </c>
      <c r="J93" s="45">
        <v>33.845664617341534</v>
      </c>
      <c r="K93" s="44"/>
      <c r="L93" s="44"/>
      <c r="M93" s="44"/>
      <c r="N93" s="49"/>
      <c r="BH93" s="21"/>
    </row>
    <row r="94" spans="1:60" s="7" customFormat="1" ht="18" customHeight="1" x14ac:dyDescent="0.3">
      <c r="A94" s="24" t="s">
        <v>60</v>
      </c>
      <c r="B94" s="7" t="s">
        <v>61</v>
      </c>
      <c r="C94" s="63">
        <v>11.8</v>
      </c>
      <c r="D94" s="63">
        <v>11.45</v>
      </c>
      <c r="E94" s="63">
        <v>9.35</v>
      </c>
      <c r="F94" s="44">
        <v>9.33</v>
      </c>
      <c r="G94" s="44">
        <v>11.15</v>
      </c>
      <c r="H94" s="63">
        <v>10.1</v>
      </c>
      <c r="I94" s="44">
        <v>11.62</v>
      </c>
      <c r="J94" s="45">
        <v>12.65</v>
      </c>
      <c r="L94" s="2"/>
      <c r="M94" s="2"/>
      <c r="N94" s="2"/>
      <c r="O94" s="24"/>
      <c r="P94" s="35"/>
      <c r="Q94" s="35"/>
      <c r="R94" s="35"/>
      <c r="S94" s="35"/>
      <c r="T94" s="35"/>
      <c r="BH94" s="21"/>
    </row>
    <row r="95" spans="1:60" s="7" customFormat="1" ht="18" customHeight="1" x14ac:dyDescent="0.3">
      <c r="A95" s="24" t="s">
        <v>60</v>
      </c>
      <c r="B95" s="7" t="s">
        <v>62</v>
      </c>
      <c r="C95" s="65">
        <v>0.26</v>
      </c>
      <c r="D95" s="65">
        <v>0.26</v>
      </c>
      <c r="E95" s="74">
        <v>0.22</v>
      </c>
      <c r="F95" s="44">
        <v>0.22</v>
      </c>
      <c r="G95" s="44">
        <v>0.28000000000000003</v>
      </c>
      <c r="H95" s="63">
        <v>0.3</v>
      </c>
      <c r="I95" s="44">
        <v>0.35</v>
      </c>
      <c r="J95" s="45">
        <v>0.38</v>
      </c>
      <c r="L95" s="75"/>
      <c r="M95" s="75"/>
      <c r="N95" s="75"/>
      <c r="O95" s="24"/>
      <c r="P95" s="35"/>
      <c r="Q95" s="35"/>
      <c r="R95" s="35"/>
      <c r="S95" s="35"/>
      <c r="T95" s="35"/>
      <c r="BH95" s="21"/>
    </row>
    <row r="96" spans="1:60" s="7" customFormat="1" ht="18" customHeight="1" x14ac:dyDescent="0.3">
      <c r="A96" s="24" t="s">
        <v>63</v>
      </c>
      <c r="B96" s="7" t="s">
        <v>64</v>
      </c>
      <c r="C96" s="65">
        <v>3.4</v>
      </c>
      <c r="D96" s="65">
        <v>3.11</v>
      </c>
      <c r="E96" s="65">
        <v>6.37</v>
      </c>
      <c r="F96" s="44">
        <v>6.4</v>
      </c>
      <c r="G96" s="44">
        <v>5.1376999999999997</v>
      </c>
      <c r="H96" s="63">
        <v>4.4850000000000003</v>
      </c>
      <c r="I96" s="44">
        <v>2.7782</v>
      </c>
      <c r="J96" s="45">
        <v>2.5682999999999998</v>
      </c>
      <c r="O96" s="24"/>
      <c r="P96" s="35"/>
      <c r="Q96" s="35"/>
      <c r="R96" s="35"/>
      <c r="S96" s="35"/>
      <c r="T96" s="35"/>
      <c r="BH96" s="21"/>
    </row>
    <row r="97" spans="1:73" s="7" customFormat="1" ht="18" customHeight="1" x14ac:dyDescent="0.3">
      <c r="A97" s="24" t="s">
        <v>65</v>
      </c>
      <c r="B97" s="7" t="s">
        <v>66</v>
      </c>
      <c r="C97" s="65">
        <v>1.07</v>
      </c>
      <c r="D97" s="65">
        <v>1.29</v>
      </c>
      <c r="E97" s="65">
        <v>1.41</v>
      </c>
      <c r="F97" s="44">
        <v>0.96</v>
      </c>
      <c r="G97" s="44">
        <v>0.97</v>
      </c>
      <c r="H97" s="63">
        <v>1.01</v>
      </c>
      <c r="I97" s="44">
        <v>0.97</v>
      </c>
      <c r="J97" s="45">
        <v>0.98</v>
      </c>
      <c r="O97" s="24"/>
      <c r="P97" s="35"/>
      <c r="Q97" s="35"/>
      <c r="R97" s="35"/>
      <c r="S97" s="35"/>
      <c r="T97" s="35"/>
      <c r="BH97" s="21"/>
    </row>
    <row r="98" spans="1:73" s="2" customFormat="1" ht="18" customHeight="1" x14ac:dyDescent="0.3">
      <c r="A98" s="24"/>
      <c r="B98" s="7" t="s">
        <v>67</v>
      </c>
      <c r="C98" s="50">
        <v>6000</v>
      </c>
      <c r="D98" s="29">
        <v>6300</v>
      </c>
      <c r="E98" s="29">
        <v>5200</v>
      </c>
      <c r="F98" s="26">
        <v>5700</v>
      </c>
      <c r="G98" s="26">
        <v>5700</v>
      </c>
      <c r="H98" s="26">
        <v>6400</v>
      </c>
      <c r="I98" s="26">
        <v>9000</v>
      </c>
      <c r="J98" s="26">
        <v>37600</v>
      </c>
      <c r="K98" s="7"/>
      <c r="L98" s="7"/>
      <c r="M98" s="7"/>
      <c r="N98" s="7"/>
      <c r="O98" s="24"/>
      <c r="P98" s="23"/>
      <c r="Q98" s="23"/>
      <c r="R98" s="23"/>
      <c r="S98" s="23"/>
      <c r="T98" s="23"/>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B98" s="7"/>
      <c r="BC98" s="7"/>
      <c r="BD98" s="7"/>
      <c r="BE98" s="7"/>
      <c r="BF98" s="7"/>
      <c r="BG98" s="7"/>
      <c r="BH98" s="7"/>
      <c r="BI98" s="7"/>
      <c r="BJ98" s="7"/>
      <c r="BK98" s="7"/>
      <c r="BL98" s="7"/>
      <c r="BM98" s="7"/>
      <c r="BN98" s="39"/>
      <c r="BO98" s="39"/>
      <c r="BP98" s="39"/>
      <c r="BQ98" s="39"/>
      <c r="BR98" s="39"/>
      <c r="BS98" s="39"/>
      <c r="BT98" s="39"/>
      <c r="BU98" s="39"/>
    </row>
    <row r="99" spans="1:73" x14ac:dyDescent="0.3">
      <c r="AI99"/>
      <c r="AJ99"/>
      <c r="AK99"/>
      <c r="AL99"/>
      <c r="AM99" s="30"/>
      <c r="AN99"/>
      <c r="AO99"/>
      <c r="AP99"/>
      <c r="AQ99"/>
      <c r="AR99"/>
      <c r="AS99"/>
      <c r="AT99"/>
      <c r="AU99"/>
      <c r="AV99"/>
      <c r="AW99" s="51"/>
      <c r="AX99"/>
      <c r="AY99"/>
      <c r="AZ99"/>
      <c r="BE99" s="2"/>
      <c r="BF99" s="2"/>
    </row>
    <row r="100" spans="1:73" ht="18" customHeight="1" x14ac:dyDescent="0.3">
      <c r="A100" s="16" t="s">
        <v>68</v>
      </c>
      <c r="B100" s="76" t="s">
        <v>143</v>
      </c>
      <c r="C100" s="8">
        <v>2018</v>
      </c>
      <c r="D100" s="8">
        <v>2019</v>
      </c>
      <c r="E100" s="8">
        <v>2020</v>
      </c>
      <c r="F100" s="9">
        <v>2021</v>
      </c>
      <c r="G100" s="10">
        <v>2022</v>
      </c>
      <c r="H100" s="11">
        <v>2023</v>
      </c>
      <c r="I100" s="12">
        <v>2024</v>
      </c>
      <c r="J100" s="13">
        <v>2025</v>
      </c>
      <c r="N100" s="16" t="s">
        <v>68</v>
      </c>
      <c r="O100" s="8" t="s">
        <v>87</v>
      </c>
      <c r="P100" s="16" t="s">
        <v>125</v>
      </c>
      <c r="Q100" s="16" t="s">
        <v>126</v>
      </c>
      <c r="R100" s="16" t="s">
        <v>9</v>
      </c>
      <c r="S100" s="17" t="s">
        <v>100</v>
      </c>
      <c r="T100" s="16" t="s">
        <v>11</v>
      </c>
      <c r="U100" s="16" t="s">
        <v>12</v>
      </c>
      <c r="V100" s="16" t="s">
        <v>101</v>
      </c>
      <c r="W100" s="17" t="s">
        <v>102</v>
      </c>
      <c r="X100" s="16" t="s">
        <v>103</v>
      </c>
      <c r="Y100" s="16" t="s">
        <v>104</v>
      </c>
      <c r="Z100" s="16" t="s">
        <v>105</v>
      </c>
      <c r="AA100" s="17" t="s">
        <v>106</v>
      </c>
      <c r="AB100" s="16" t="s">
        <v>107</v>
      </c>
      <c r="AC100" s="16" t="s">
        <v>108</v>
      </c>
      <c r="AD100" s="16" t="s">
        <v>109</v>
      </c>
      <c r="AE100" s="17" t="s">
        <v>110</v>
      </c>
      <c r="AF100" s="16" t="s">
        <v>111</v>
      </c>
      <c r="AG100" s="16" t="s">
        <v>112</v>
      </c>
      <c r="AH100" s="16" t="s">
        <v>113</v>
      </c>
      <c r="AI100" s="17" t="s">
        <v>114</v>
      </c>
      <c r="AJ100" s="16" t="s">
        <v>115</v>
      </c>
      <c r="AK100" s="16" t="s">
        <v>116</v>
      </c>
      <c r="AL100" s="16" t="s">
        <v>117</v>
      </c>
      <c r="AM100" s="17" t="s">
        <v>30</v>
      </c>
      <c r="AN100" s="16" t="s">
        <v>31</v>
      </c>
      <c r="AO100" s="16" t="s">
        <v>32</v>
      </c>
      <c r="AP100" s="16" t="s">
        <v>118</v>
      </c>
      <c r="AQ100" s="17" t="s">
        <v>119</v>
      </c>
      <c r="AR100" s="16" t="s">
        <v>120</v>
      </c>
      <c r="AS100" s="16" t="s">
        <v>121</v>
      </c>
      <c r="AT100" s="16" t="s">
        <v>127</v>
      </c>
      <c r="AU100" s="17" t="s">
        <v>122</v>
      </c>
      <c r="AV100"/>
      <c r="AW100" s="8" t="s">
        <v>87</v>
      </c>
      <c r="AX100"/>
      <c r="AY100" s="77" t="s">
        <v>144</v>
      </c>
      <c r="AZ100"/>
      <c r="BA100" s="2" t="s">
        <v>145</v>
      </c>
      <c r="BB100" s="8"/>
      <c r="BC100" s="20" t="s">
        <v>123</v>
      </c>
      <c r="BD100" s="20" t="s">
        <v>39</v>
      </c>
      <c r="BE100" s="20" t="s">
        <v>41</v>
      </c>
      <c r="BF100" s="20" t="s">
        <v>42</v>
      </c>
      <c r="BH100" s="77" t="s">
        <v>144</v>
      </c>
    </row>
    <row r="101" spans="1:73" ht="18" customHeight="1" x14ac:dyDescent="0.3">
      <c r="A101" s="24" t="s">
        <v>43</v>
      </c>
      <c r="B101" s="7" t="s">
        <v>146</v>
      </c>
      <c r="C101" s="34">
        <v>3292</v>
      </c>
      <c r="D101" s="34">
        <v>3344</v>
      </c>
      <c r="E101" s="34">
        <v>2810</v>
      </c>
      <c r="F101" s="34">
        <v>3331</v>
      </c>
      <c r="G101" s="34">
        <v>3801</v>
      </c>
      <c r="H101" s="34">
        <v>3994</v>
      </c>
      <c r="I101" s="34">
        <v>4040</v>
      </c>
      <c r="J101" s="34">
        <v>4247</v>
      </c>
      <c r="N101" s="24" t="s">
        <v>43</v>
      </c>
      <c r="O101" s="7" t="s">
        <v>146</v>
      </c>
      <c r="P101" s="26">
        <v>763</v>
      </c>
      <c r="Q101" s="26">
        <v>823</v>
      </c>
      <c r="R101" s="26">
        <v>854</v>
      </c>
      <c r="S101" s="26">
        <v>852</v>
      </c>
      <c r="T101" s="26">
        <v>749</v>
      </c>
      <c r="U101" s="26">
        <v>842</v>
      </c>
      <c r="V101" s="26">
        <v>881</v>
      </c>
      <c r="W101" s="26">
        <v>872</v>
      </c>
      <c r="X101" s="26">
        <v>699</v>
      </c>
      <c r="Y101" s="26">
        <v>567</v>
      </c>
      <c r="Z101" s="26">
        <v>762</v>
      </c>
      <c r="AA101" s="26">
        <v>782</v>
      </c>
      <c r="AB101" s="26">
        <v>710</v>
      </c>
      <c r="AC101" s="26">
        <v>831</v>
      </c>
      <c r="AD101" s="26">
        <v>885</v>
      </c>
      <c r="AE101" s="26">
        <v>916</v>
      </c>
      <c r="AF101" s="26">
        <v>829</v>
      </c>
      <c r="AG101" s="26">
        <v>968</v>
      </c>
      <c r="AH101" s="26">
        <v>1033</v>
      </c>
      <c r="AI101" s="26">
        <v>993</v>
      </c>
      <c r="AJ101" s="26">
        <v>900</v>
      </c>
      <c r="AK101" s="26">
        <v>1016</v>
      </c>
      <c r="AL101" s="26">
        <v>1060</v>
      </c>
      <c r="AM101" s="26">
        <v>1018</v>
      </c>
      <c r="AN101" s="26">
        <v>939</v>
      </c>
      <c r="AO101" s="26">
        <v>1030</v>
      </c>
      <c r="AP101" s="26">
        <v>1044</v>
      </c>
      <c r="AQ101" s="26">
        <v>1027</v>
      </c>
      <c r="AR101" s="26">
        <v>903</v>
      </c>
      <c r="AS101" s="26">
        <v>1083</v>
      </c>
      <c r="AT101" s="26">
        <v>1125</v>
      </c>
      <c r="AU101" s="26">
        <v>1136</v>
      </c>
      <c r="AV101"/>
      <c r="AW101" s="7" t="s">
        <v>146</v>
      </c>
      <c r="AX101"/>
      <c r="AY101" s="77" t="s">
        <v>147</v>
      </c>
      <c r="AZ101"/>
      <c r="BA101" s="2" t="s">
        <v>145</v>
      </c>
      <c r="BB101" s="7" t="s">
        <v>148</v>
      </c>
      <c r="BC101" s="34">
        <f t="shared" ref="BC101:BC104" si="65">SUM(AN101:AQ101)</f>
        <v>4040</v>
      </c>
      <c r="BD101" s="34">
        <f t="shared" ref="BD101:BD104" si="66">SUM(AR101:AU101)</f>
        <v>4247</v>
      </c>
      <c r="BE101" s="35">
        <f t="shared" ref="BE101:BE104" si="67">(BD101-BC101)/ABS(BC101)</f>
        <v>5.1237623762376235E-2</v>
      </c>
      <c r="BF101" s="35">
        <f t="shared" ref="BF101:BF104" si="68">(AU101/AP101)^(1/5)-1</f>
        <v>1.7034221711763164E-2</v>
      </c>
      <c r="BH101" s="77" t="s">
        <v>147</v>
      </c>
    </row>
    <row r="102" spans="1:73" ht="18" customHeight="1" x14ac:dyDescent="0.3">
      <c r="A102" s="24" t="s">
        <v>43</v>
      </c>
      <c r="B102" s="7" t="s">
        <v>149</v>
      </c>
      <c r="C102" s="34">
        <v>1651</v>
      </c>
      <c r="D102" s="34">
        <v>1777</v>
      </c>
      <c r="E102" s="34">
        <v>1602</v>
      </c>
      <c r="F102" s="34">
        <v>1156</v>
      </c>
      <c r="G102" s="34">
        <v>1196</v>
      </c>
      <c r="H102" s="34">
        <v>1896</v>
      </c>
      <c r="I102" s="34">
        <v>1451</v>
      </c>
      <c r="J102" s="34">
        <v>1514</v>
      </c>
      <c r="N102" s="24" t="s">
        <v>43</v>
      </c>
      <c r="O102" s="7" t="s">
        <v>149</v>
      </c>
      <c r="P102" s="26">
        <v>390</v>
      </c>
      <c r="Q102" s="26">
        <v>418</v>
      </c>
      <c r="R102" s="26">
        <v>416</v>
      </c>
      <c r="S102" s="26">
        <v>427</v>
      </c>
      <c r="T102" s="26">
        <v>411</v>
      </c>
      <c r="U102" s="26">
        <v>447</v>
      </c>
      <c r="V102" s="26">
        <v>457</v>
      </c>
      <c r="W102" s="26">
        <v>462</v>
      </c>
      <c r="X102" s="26">
        <v>388</v>
      </c>
      <c r="Y102" s="26">
        <v>347</v>
      </c>
      <c r="Z102" s="26">
        <v>433</v>
      </c>
      <c r="AA102" s="26">
        <v>434</v>
      </c>
      <c r="AB102" s="26">
        <v>407</v>
      </c>
      <c r="AC102" s="26">
        <v>459</v>
      </c>
      <c r="AD102" s="26">
        <v>467</v>
      </c>
      <c r="AE102" s="26">
        <v>480</v>
      </c>
      <c r="AF102" s="26">
        <v>443</v>
      </c>
      <c r="AG102" s="26">
        <v>473</v>
      </c>
      <c r="AH102" s="26">
        <v>491</v>
      </c>
      <c r="AI102" s="26">
        <v>490</v>
      </c>
      <c r="AJ102" s="26">
        <v>484</v>
      </c>
      <c r="AK102" s="26">
        <v>529</v>
      </c>
      <c r="AL102" s="26">
        <v>538</v>
      </c>
      <c r="AM102" s="26">
        <v>345</v>
      </c>
      <c r="AN102" s="26">
        <v>350</v>
      </c>
      <c r="AO102" s="26">
        <v>364</v>
      </c>
      <c r="AP102" s="26">
        <v>362</v>
      </c>
      <c r="AQ102" s="26">
        <v>375</v>
      </c>
      <c r="AR102" s="26">
        <v>356</v>
      </c>
      <c r="AS102" s="26">
        <v>388</v>
      </c>
      <c r="AT102" s="26">
        <v>387</v>
      </c>
      <c r="AU102" s="26">
        <v>383</v>
      </c>
      <c r="AV102"/>
      <c r="AW102" s="7" t="s">
        <v>149</v>
      </c>
      <c r="AX102"/>
      <c r="AY102" s="77" t="s">
        <v>150</v>
      </c>
      <c r="AZ102"/>
      <c r="BA102" s="2" t="s">
        <v>145</v>
      </c>
      <c r="BB102" s="7" t="s">
        <v>151</v>
      </c>
      <c r="BC102" s="34">
        <f t="shared" si="65"/>
        <v>1451</v>
      </c>
      <c r="BD102" s="34">
        <f t="shared" si="66"/>
        <v>1514</v>
      </c>
      <c r="BE102" s="35">
        <f t="shared" si="67"/>
        <v>4.3418332184700204E-2</v>
      </c>
      <c r="BF102" s="35">
        <f t="shared" si="68"/>
        <v>1.1341993632901781E-2</v>
      </c>
      <c r="BH102" s="77" t="s">
        <v>150</v>
      </c>
    </row>
    <row r="103" spans="1:73" ht="18" customHeight="1" x14ac:dyDescent="0.3">
      <c r="A103" s="24" t="s">
        <v>43</v>
      </c>
      <c r="B103" s="7" t="s">
        <v>152</v>
      </c>
      <c r="C103" s="34">
        <v>414</v>
      </c>
      <c r="D103" s="34">
        <v>482</v>
      </c>
      <c r="E103" s="34">
        <v>556</v>
      </c>
      <c r="F103" s="34">
        <v>559</v>
      </c>
      <c r="G103" s="34">
        <v>619</v>
      </c>
      <c r="H103" s="34">
        <v>720</v>
      </c>
      <c r="I103" s="34">
        <v>768</v>
      </c>
      <c r="J103" s="34">
        <v>800</v>
      </c>
      <c r="N103" s="24" t="s">
        <v>43</v>
      </c>
      <c r="O103" s="7" t="s">
        <v>152</v>
      </c>
      <c r="P103" s="26">
        <v>101</v>
      </c>
      <c r="Q103" s="26">
        <v>102</v>
      </c>
      <c r="R103" s="26">
        <v>105</v>
      </c>
      <c r="S103" s="26">
        <v>106</v>
      </c>
      <c r="T103" s="26">
        <v>106</v>
      </c>
      <c r="U103" s="26">
        <v>111</v>
      </c>
      <c r="V103" s="26">
        <v>120</v>
      </c>
      <c r="W103" s="26">
        <v>145</v>
      </c>
      <c r="X103" s="26">
        <v>138</v>
      </c>
      <c r="Y103" s="26">
        <v>134</v>
      </c>
      <c r="Z103" s="26">
        <v>142</v>
      </c>
      <c r="AA103" s="26">
        <v>142</v>
      </c>
      <c r="AB103" s="26">
        <v>143</v>
      </c>
      <c r="AC103" s="26">
        <v>148</v>
      </c>
      <c r="AD103" s="26">
        <v>143</v>
      </c>
      <c r="AE103" s="26">
        <v>145</v>
      </c>
      <c r="AF103" s="26">
        <v>148</v>
      </c>
      <c r="AG103" s="26">
        <v>165</v>
      </c>
      <c r="AH103" s="26">
        <v>164</v>
      </c>
      <c r="AI103" s="26">
        <v>170</v>
      </c>
      <c r="AJ103" s="26">
        <v>168</v>
      </c>
      <c r="AK103" s="26">
        <v>182</v>
      </c>
      <c r="AL103" s="26">
        <v>188</v>
      </c>
      <c r="AM103" s="26">
        <v>182</v>
      </c>
      <c r="AN103" s="26">
        <v>178</v>
      </c>
      <c r="AO103" s="26">
        <v>194</v>
      </c>
      <c r="AP103" s="26">
        <v>195</v>
      </c>
      <c r="AQ103" s="26">
        <v>201</v>
      </c>
      <c r="AR103" s="26">
        <v>194</v>
      </c>
      <c r="AS103" s="26">
        <v>210</v>
      </c>
      <c r="AT103" s="26">
        <v>201</v>
      </c>
      <c r="AU103" s="26">
        <v>195</v>
      </c>
      <c r="AV103"/>
      <c r="AW103" s="7" t="s">
        <v>152</v>
      </c>
      <c r="AX103"/>
      <c r="AY103" s="77" t="s">
        <v>153</v>
      </c>
      <c r="AZ103"/>
      <c r="BA103" s="2" t="s">
        <v>145</v>
      </c>
      <c r="BB103" s="7" t="s">
        <v>154</v>
      </c>
      <c r="BC103" s="34">
        <f t="shared" si="65"/>
        <v>768</v>
      </c>
      <c r="BD103" s="34">
        <f t="shared" si="66"/>
        <v>800</v>
      </c>
      <c r="BE103" s="35">
        <f t="shared" si="67"/>
        <v>4.1666666666666664E-2</v>
      </c>
      <c r="BF103" s="35">
        <f t="shared" si="68"/>
        <v>0</v>
      </c>
      <c r="BH103" s="77" t="s">
        <v>153</v>
      </c>
    </row>
    <row r="104" spans="1:73" ht="18" customHeight="1" x14ac:dyDescent="0.3">
      <c r="A104" s="24" t="s">
        <v>43</v>
      </c>
      <c r="B104" s="7" t="s">
        <v>155</v>
      </c>
      <c r="C104" s="34">
        <v>0</v>
      </c>
      <c r="D104" s="34">
        <v>0</v>
      </c>
      <c r="E104" s="34">
        <v>0</v>
      </c>
      <c r="F104" s="34">
        <v>5</v>
      </c>
      <c r="G104" s="34">
        <v>138</v>
      </c>
      <c r="H104" s="34">
        <v>188</v>
      </c>
      <c r="I104" s="34">
        <v>214</v>
      </c>
      <c r="J104" s="34">
        <v>232</v>
      </c>
      <c r="N104" s="24" t="s">
        <v>43</v>
      </c>
      <c r="O104" s="7" t="s">
        <v>155</v>
      </c>
      <c r="P104" s="26">
        <v>0</v>
      </c>
      <c r="Q104" s="26">
        <v>0</v>
      </c>
      <c r="R104" s="26">
        <v>0</v>
      </c>
      <c r="S104" s="26">
        <v>0</v>
      </c>
      <c r="T104" s="26">
        <v>0</v>
      </c>
      <c r="U104" s="26">
        <v>0</v>
      </c>
      <c r="V104" s="26">
        <v>0</v>
      </c>
      <c r="W104" s="26">
        <v>0</v>
      </c>
      <c r="X104" s="26">
        <v>0</v>
      </c>
      <c r="Y104" s="26">
        <v>0</v>
      </c>
      <c r="Z104" s="26">
        <v>0</v>
      </c>
      <c r="AA104" s="26">
        <v>0</v>
      </c>
      <c r="AB104" s="26">
        <v>0</v>
      </c>
      <c r="AC104" s="26">
        <v>0</v>
      </c>
      <c r="AD104" s="26">
        <v>0</v>
      </c>
      <c r="AE104" s="26">
        <v>5</v>
      </c>
      <c r="AF104" s="26">
        <v>31</v>
      </c>
      <c r="AG104" s="26">
        <v>33</v>
      </c>
      <c r="AH104" s="26">
        <v>38</v>
      </c>
      <c r="AI104" s="26">
        <v>36</v>
      </c>
      <c r="AJ104" s="26">
        <v>38</v>
      </c>
      <c r="AK104" s="26">
        <v>48</v>
      </c>
      <c r="AL104" s="26">
        <v>51</v>
      </c>
      <c r="AM104" s="26">
        <v>51</v>
      </c>
      <c r="AN104" s="26">
        <v>50</v>
      </c>
      <c r="AO104" s="26">
        <v>53</v>
      </c>
      <c r="AP104" s="26">
        <v>53</v>
      </c>
      <c r="AQ104" s="26">
        <v>58</v>
      </c>
      <c r="AR104" s="26">
        <v>54</v>
      </c>
      <c r="AS104" s="26">
        <v>59</v>
      </c>
      <c r="AT104" s="26">
        <v>60</v>
      </c>
      <c r="AU104" s="26">
        <v>59</v>
      </c>
      <c r="AV104"/>
      <c r="AW104" s="7" t="s">
        <v>155</v>
      </c>
      <c r="AX104"/>
      <c r="AY104" s="77" t="s">
        <v>156</v>
      </c>
      <c r="AZ104"/>
      <c r="BA104" s="2" t="s">
        <v>145</v>
      </c>
      <c r="BB104" s="7" t="s">
        <v>157</v>
      </c>
      <c r="BC104" s="34">
        <f t="shared" si="65"/>
        <v>214</v>
      </c>
      <c r="BD104" s="34">
        <f t="shared" si="66"/>
        <v>232</v>
      </c>
      <c r="BE104" s="35">
        <f t="shared" si="67"/>
        <v>8.4112149532710276E-2</v>
      </c>
      <c r="BF104" s="35">
        <f t="shared" si="68"/>
        <v>2.168079166422654E-2</v>
      </c>
      <c r="BH104" s="77" t="s">
        <v>156</v>
      </c>
    </row>
    <row r="105" spans="1:73" ht="18" customHeight="1" x14ac:dyDescent="0.3">
      <c r="A105" s="24" t="s">
        <v>43</v>
      </c>
      <c r="B105" s="7" t="s">
        <v>158</v>
      </c>
      <c r="C105" s="34"/>
      <c r="D105" s="34"/>
      <c r="E105" s="34"/>
      <c r="F105" s="34">
        <v>688</v>
      </c>
      <c r="G105" s="34">
        <v>751</v>
      </c>
      <c r="H105" s="34">
        <v>224</v>
      </c>
      <c r="I105" s="34">
        <v>1933</v>
      </c>
      <c r="J105" s="34">
        <v>2641</v>
      </c>
      <c r="N105" s="24" t="s">
        <v>43</v>
      </c>
      <c r="O105" s="7" t="s">
        <v>82</v>
      </c>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v>224</v>
      </c>
      <c r="AN105" s="26">
        <v>222</v>
      </c>
      <c r="AO105" s="26">
        <v>439</v>
      </c>
      <c r="AP105" s="26">
        <v>637</v>
      </c>
      <c r="AQ105" s="26">
        <v>635</v>
      </c>
      <c r="AR105" s="26">
        <v>602</v>
      </c>
      <c r="AS105" s="26">
        <f>250+469-49</f>
        <v>670</v>
      </c>
      <c r="AT105" s="26">
        <v>676</v>
      </c>
      <c r="AU105" s="26">
        <v>693</v>
      </c>
      <c r="AV105"/>
      <c r="AW105" s="7" t="s">
        <v>82</v>
      </c>
      <c r="AX105"/>
      <c r="AY105" s="77" t="s">
        <v>159</v>
      </c>
      <c r="AZ105"/>
      <c r="BA105" s="2" t="s">
        <v>145</v>
      </c>
      <c r="BB105" s="5"/>
      <c r="BC105" s="34"/>
      <c r="BD105" s="34"/>
      <c r="BE105" s="78"/>
      <c r="BF105" s="78"/>
      <c r="BH105" s="77" t="s">
        <v>159</v>
      </c>
    </row>
    <row r="106" spans="1:73" ht="18" customHeight="1" thickBot="1" x14ac:dyDescent="0.35">
      <c r="C106" s="53">
        <f t="shared" ref="C106:I106" si="69">SUM(C101:C105)</f>
        <v>5357</v>
      </c>
      <c r="D106" s="53">
        <f t="shared" si="69"/>
        <v>5603</v>
      </c>
      <c r="E106" s="53">
        <f t="shared" si="69"/>
        <v>4968</v>
      </c>
      <c r="F106" s="53">
        <f t="shared" si="69"/>
        <v>5739</v>
      </c>
      <c r="G106" s="53">
        <f t="shared" si="69"/>
        <v>6505</v>
      </c>
      <c r="H106" s="53">
        <f t="shared" si="69"/>
        <v>7022</v>
      </c>
      <c r="I106" s="53">
        <f t="shared" si="69"/>
        <v>8406</v>
      </c>
      <c r="J106" s="53">
        <f t="shared" ref="J106" si="70">SUM(J101:J105)</f>
        <v>9434</v>
      </c>
      <c r="N106" s="24"/>
      <c r="O106" s="6" t="s">
        <v>77</v>
      </c>
      <c r="P106" s="53">
        <f t="shared" ref="P106:AL106" si="71">SUM(P101:P104)</f>
        <v>1254</v>
      </c>
      <c r="Q106" s="53">
        <f t="shared" si="71"/>
        <v>1343</v>
      </c>
      <c r="R106" s="53">
        <f t="shared" si="71"/>
        <v>1375</v>
      </c>
      <c r="S106" s="53">
        <f t="shared" si="71"/>
        <v>1385</v>
      </c>
      <c r="T106" s="53">
        <f t="shared" si="71"/>
        <v>1266</v>
      </c>
      <c r="U106" s="53">
        <f t="shared" si="71"/>
        <v>1400</v>
      </c>
      <c r="V106" s="53">
        <f t="shared" si="71"/>
        <v>1458</v>
      </c>
      <c r="W106" s="53">
        <f t="shared" si="71"/>
        <v>1479</v>
      </c>
      <c r="X106" s="53">
        <f t="shared" si="71"/>
        <v>1225</v>
      </c>
      <c r="Y106" s="53">
        <f t="shared" si="71"/>
        <v>1048</v>
      </c>
      <c r="Z106" s="53">
        <f t="shared" si="71"/>
        <v>1337</v>
      </c>
      <c r="AA106" s="53">
        <f t="shared" si="71"/>
        <v>1358</v>
      </c>
      <c r="AB106" s="53">
        <f t="shared" si="71"/>
        <v>1260</v>
      </c>
      <c r="AC106" s="53">
        <f t="shared" si="71"/>
        <v>1438</v>
      </c>
      <c r="AD106" s="53">
        <f t="shared" si="71"/>
        <v>1495</v>
      </c>
      <c r="AE106" s="53">
        <f t="shared" si="71"/>
        <v>1546</v>
      </c>
      <c r="AF106" s="53">
        <f t="shared" si="71"/>
        <v>1451</v>
      </c>
      <c r="AG106" s="53">
        <f t="shared" si="71"/>
        <v>1639</v>
      </c>
      <c r="AH106" s="53">
        <f t="shared" si="71"/>
        <v>1726</v>
      </c>
      <c r="AI106" s="53">
        <f t="shared" si="71"/>
        <v>1689</v>
      </c>
      <c r="AJ106" s="53">
        <f t="shared" si="71"/>
        <v>1590</v>
      </c>
      <c r="AK106" s="53">
        <f t="shared" si="71"/>
        <v>1775</v>
      </c>
      <c r="AL106" s="53">
        <f t="shared" si="71"/>
        <v>1837</v>
      </c>
      <c r="AM106" s="53">
        <f t="shared" ref="AM106:AU106" si="72">SUM(AM101:AM105)</f>
        <v>1820</v>
      </c>
      <c r="AN106" s="53">
        <f t="shared" si="72"/>
        <v>1739</v>
      </c>
      <c r="AO106" s="53">
        <f t="shared" si="72"/>
        <v>2080</v>
      </c>
      <c r="AP106" s="53">
        <f t="shared" si="72"/>
        <v>2291</v>
      </c>
      <c r="AQ106" s="53">
        <f t="shared" si="72"/>
        <v>2296</v>
      </c>
      <c r="AR106" s="53">
        <f t="shared" si="72"/>
        <v>2109</v>
      </c>
      <c r="AS106" s="53">
        <f t="shared" si="72"/>
        <v>2410</v>
      </c>
      <c r="AT106" s="53">
        <f t="shared" si="72"/>
        <v>2449</v>
      </c>
      <c r="AU106" s="53">
        <f t="shared" si="72"/>
        <v>2466</v>
      </c>
      <c r="AV106" s="58"/>
      <c r="AW106" s="6" t="s">
        <v>77</v>
      </c>
      <c r="AX106"/>
      <c r="AY106"/>
      <c r="AZ106"/>
      <c r="BE106" s="2"/>
      <c r="BF106" s="2"/>
    </row>
    <row r="107" spans="1:73" ht="16.2" thickTop="1" x14ac:dyDescent="0.3">
      <c r="A107" s="2"/>
      <c r="B107" s="2" t="s">
        <v>160</v>
      </c>
      <c r="C107" s="2"/>
      <c r="D107" s="2"/>
      <c r="E107" s="66"/>
      <c r="F107" s="2"/>
      <c r="G107" s="2"/>
      <c r="H107" s="2"/>
      <c r="J107" s="2"/>
      <c r="N107" s="2"/>
      <c r="O107" s="2"/>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c r="AM107" s="29"/>
      <c r="AN107"/>
      <c r="AO107" s="29"/>
      <c r="AP107"/>
      <c r="AQ107" s="58">
        <f>AQ113-AQ106</f>
        <v>0</v>
      </c>
      <c r="AR107"/>
      <c r="AS107" s="29"/>
      <c r="AT107"/>
      <c r="AU107"/>
      <c r="AV107"/>
      <c r="AX107"/>
      <c r="AY107"/>
      <c r="AZ107"/>
      <c r="BE107" s="2"/>
      <c r="BF107" s="2"/>
    </row>
    <row r="108" spans="1:73" x14ac:dyDescent="0.3">
      <c r="A108" s="2"/>
      <c r="B108" s="2"/>
      <c r="C108" s="2"/>
      <c r="D108" s="2"/>
      <c r="E108" s="66"/>
      <c r="F108" s="2"/>
      <c r="G108" s="2"/>
      <c r="H108" s="2"/>
      <c r="J108" s="2"/>
      <c r="N108" s="2"/>
      <c r="O108" s="2"/>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c r="AM108" s="29"/>
      <c r="AN108"/>
      <c r="AO108" s="29"/>
      <c r="AP108"/>
      <c r="AQ108"/>
      <c r="AR108"/>
      <c r="AS108" s="29"/>
      <c r="AT108"/>
      <c r="AU108"/>
      <c r="AV108"/>
      <c r="AX108"/>
      <c r="AY108"/>
      <c r="AZ108"/>
      <c r="BE108" s="2"/>
      <c r="BF108" s="2"/>
    </row>
    <row r="109" spans="1:73" x14ac:dyDescent="0.3">
      <c r="A109" s="16" t="s">
        <v>68</v>
      </c>
      <c r="B109" s="8" t="s">
        <v>133</v>
      </c>
      <c r="C109" s="8">
        <v>2018</v>
      </c>
      <c r="D109" s="8">
        <v>2019</v>
      </c>
      <c r="E109" s="8">
        <v>2020</v>
      </c>
      <c r="F109" s="9">
        <v>2021</v>
      </c>
      <c r="G109" s="10">
        <v>2022</v>
      </c>
      <c r="H109" s="11">
        <v>2023</v>
      </c>
      <c r="I109" s="12">
        <v>2024</v>
      </c>
      <c r="J109" s="13">
        <v>2025</v>
      </c>
      <c r="N109" s="16" t="s">
        <v>68</v>
      </c>
      <c r="O109" s="8" t="s">
        <v>133</v>
      </c>
      <c r="P109" s="16" t="s">
        <v>125</v>
      </c>
      <c r="Q109" s="16" t="s">
        <v>126</v>
      </c>
      <c r="R109" s="16" t="s">
        <v>9</v>
      </c>
      <c r="S109" s="17" t="s">
        <v>100</v>
      </c>
      <c r="T109" s="16" t="s">
        <v>11</v>
      </c>
      <c r="U109" s="16" t="s">
        <v>12</v>
      </c>
      <c r="V109" s="16" t="s">
        <v>101</v>
      </c>
      <c r="W109" s="17" t="s">
        <v>102</v>
      </c>
      <c r="X109" s="16" t="s">
        <v>103</v>
      </c>
      <c r="Y109" s="16" t="s">
        <v>104</v>
      </c>
      <c r="Z109" s="16" t="s">
        <v>105</v>
      </c>
      <c r="AA109" s="17" t="s">
        <v>106</v>
      </c>
      <c r="AB109" s="16" t="s">
        <v>107</v>
      </c>
      <c r="AC109" s="16" t="s">
        <v>108</v>
      </c>
      <c r="AD109" s="16" t="s">
        <v>109</v>
      </c>
      <c r="AE109" s="17" t="s">
        <v>110</v>
      </c>
      <c r="AF109" s="16" t="s">
        <v>111</v>
      </c>
      <c r="AG109" s="16" t="s">
        <v>112</v>
      </c>
      <c r="AH109" s="16" t="s">
        <v>113</v>
      </c>
      <c r="AI109" s="17" t="s">
        <v>114</v>
      </c>
      <c r="AJ109" s="16" t="s">
        <v>115</v>
      </c>
      <c r="AK109" s="16" t="s">
        <v>116</v>
      </c>
      <c r="AL109" s="16" t="s">
        <v>117</v>
      </c>
      <c r="AM109" s="17" t="s">
        <v>30</v>
      </c>
      <c r="AN109" s="16" t="s">
        <v>31</v>
      </c>
      <c r="AO109" s="16" t="s">
        <v>32</v>
      </c>
      <c r="AP109" s="16" t="s">
        <v>118</v>
      </c>
      <c r="AQ109" s="17" t="s">
        <v>119</v>
      </c>
      <c r="AR109" s="16" t="s">
        <v>120</v>
      </c>
      <c r="AS109" s="16" t="s">
        <v>121</v>
      </c>
      <c r="AT109" s="16" t="s">
        <v>127</v>
      </c>
      <c r="AU109" s="17" t="s">
        <v>122</v>
      </c>
      <c r="AV109"/>
      <c r="AW109" s="8" t="s">
        <v>133</v>
      </c>
      <c r="AX109"/>
      <c r="AY109"/>
      <c r="AZ109"/>
      <c r="BB109" s="8"/>
      <c r="BC109" s="20" t="s">
        <v>123</v>
      </c>
      <c r="BD109" s="20" t="s">
        <v>39</v>
      </c>
      <c r="BE109" s="20" t="s">
        <v>41</v>
      </c>
      <c r="BF109" s="20" t="s">
        <v>42</v>
      </c>
    </row>
    <row r="110" spans="1:73" x14ac:dyDescent="0.3">
      <c r="A110" s="24" t="s">
        <v>43</v>
      </c>
      <c r="B110" s="7" t="s">
        <v>161</v>
      </c>
      <c r="C110" s="34">
        <v>2984</v>
      </c>
      <c r="D110" s="34">
        <v>3037</v>
      </c>
      <c r="E110" s="34">
        <v>2546</v>
      </c>
      <c r="F110" s="34">
        <v>3035</v>
      </c>
      <c r="G110" s="34">
        <v>3458</v>
      </c>
      <c r="H110" s="34">
        <v>3630</v>
      </c>
      <c r="I110" s="34">
        <v>3684</v>
      </c>
      <c r="J110" s="34">
        <v>3846</v>
      </c>
      <c r="N110" s="24" t="s">
        <v>43</v>
      </c>
      <c r="O110" s="7" t="s">
        <v>161</v>
      </c>
      <c r="P110" s="29">
        <v>692</v>
      </c>
      <c r="Q110" s="29">
        <v>746</v>
      </c>
      <c r="R110" s="29">
        <v>776</v>
      </c>
      <c r="S110" s="29">
        <v>770</v>
      </c>
      <c r="T110" s="29">
        <v>676</v>
      </c>
      <c r="U110" s="29">
        <v>764</v>
      </c>
      <c r="V110" s="29">
        <v>805</v>
      </c>
      <c r="W110" s="29">
        <v>792</v>
      </c>
      <c r="X110" s="29">
        <v>632</v>
      </c>
      <c r="Y110" s="29">
        <v>514</v>
      </c>
      <c r="Z110" s="29">
        <v>691</v>
      </c>
      <c r="AA110" s="29">
        <v>709</v>
      </c>
      <c r="AB110" s="29">
        <v>638</v>
      </c>
      <c r="AC110" s="29">
        <v>754</v>
      </c>
      <c r="AD110" s="29">
        <v>808</v>
      </c>
      <c r="AE110" s="29">
        <v>835</v>
      </c>
      <c r="AF110" s="29">
        <v>747</v>
      </c>
      <c r="AG110" s="29">
        <v>878</v>
      </c>
      <c r="AH110" s="29">
        <v>940</v>
      </c>
      <c r="AI110" s="29">
        <v>893</v>
      </c>
      <c r="AJ110" s="29">
        <v>809</v>
      </c>
      <c r="AK110" s="29">
        <v>918</v>
      </c>
      <c r="AL110" s="29">
        <v>956</v>
      </c>
      <c r="AM110" s="29">
        <v>947</v>
      </c>
      <c r="AN110" s="29">
        <v>856</v>
      </c>
      <c r="AO110" s="29">
        <v>945</v>
      </c>
      <c r="AP110" s="29">
        <v>955</v>
      </c>
      <c r="AQ110" s="29">
        <v>928</v>
      </c>
      <c r="AR110" s="29">
        <v>903</v>
      </c>
      <c r="AS110" s="29">
        <f>AS101</f>
        <v>1083</v>
      </c>
      <c r="AT110" s="29">
        <v>1028</v>
      </c>
      <c r="AU110" s="26">
        <v>832</v>
      </c>
      <c r="AV110"/>
      <c r="AW110" s="7" t="s">
        <v>161</v>
      </c>
      <c r="AX110"/>
      <c r="AY110"/>
      <c r="AZ110"/>
      <c r="BB110" s="7" t="s">
        <v>162</v>
      </c>
      <c r="BC110" s="34">
        <f t="shared" ref="BC110:BC112" si="73">SUM(AN110:AQ110)</f>
        <v>3684</v>
      </c>
      <c r="BD110" s="34">
        <f t="shared" ref="BD110:BD112" si="74">SUM(AR110:AU110)</f>
        <v>3846</v>
      </c>
      <c r="BE110" s="35">
        <f t="shared" ref="BE110:BE112" si="75">(BD110-BC110)/ABS(BC110)</f>
        <v>4.3973941368078175E-2</v>
      </c>
      <c r="BF110" s="35">
        <f t="shared" ref="BF110:BF112" si="76">(AU110/AP110)^(1/5)-1</f>
        <v>-2.7199039030397776E-2</v>
      </c>
    </row>
    <row r="111" spans="1:73" x14ac:dyDescent="0.3">
      <c r="A111" s="24" t="s">
        <v>43</v>
      </c>
      <c r="B111" s="7" t="s">
        <v>134</v>
      </c>
      <c r="C111" s="34">
        <v>1785</v>
      </c>
      <c r="D111" s="34">
        <v>1930</v>
      </c>
      <c r="E111" s="34">
        <v>1889</v>
      </c>
      <c r="F111" s="34">
        <v>2005</v>
      </c>
      <c r="G111" s="34">
        <v>2273</v>
      </c>
      <c r="H111" s="34">
        <v>2518</v>
      </c>
      <c r="I111" s="34">
        <v>3783</v>
      </c>
      <c r="J111" s="34">
        <v>4557</v>
      </c>
      <c r="N111" s="24" t="s">
        <v>43</v>
      </c>
      <c r="O111" s="7" t="s">
        <v>134</v>
      </c>
      <c r="P111" s="29">
        <v>421</v>
      </c>
      <c r="Q111" s="29">
        <v>450</v>
      </c>
      <c r="R111" s="29">
        <v>448</v>
      </c>
      <c r="S111" s="29">
        <v>466</v>
      </c>
      <c r="T111" s="29">
        <v>444</v>
      </c>
      <c r="U111" s="29">
        <v>479</v>
      </c>
      <c r="V111" s="29">
        <v>489</v>
      </c>
      <c r="W111" s="29">
        <v>518</v>
      </c>
      <c r="X111" s="29">
        <v>450</v>
      </c>
      <c r="Y111" s="29">
        <v>443</v>
      </c>
      <c r="Z111" s="29">
        <v>499</v>
      </c>
      <c r="AA111" s="29">
        <v>497</v>
      </c>
      <c r="AB111" s="29">
        <v>478</v>
      </c>
      <c r="AC111" s="29">
        <v>515</v>
      </c>
      <c r="AD111" s="29">
        <v>500</v>
      </c>
      <c r="AE111" s="29">
        <v>512</v>
      </c>
      <c r="AF111" s="29">
        <v>521</v>
      </c>
      <c r="AG111" s="29">
        <v>571</v>
      </c>
      <c r="AH111" s="29">
        <v>587</v>
      </c>
      <c r="AI111" s="29">
        <v>594</v>
      </c>
      <c r="AJ111" s="29">
        <v>573</v>
      </c>
      <c r="AK111" s="29">
        <v>631</v>
      </c>
      <c r="AL111" s="29">
        <v>645</v>
      </c>
      <c r="AM111" s="29">
        <v>669</v>
      </c>
      <c r="AN111" s="29">
        <v>661</v>
      </c>
      <c r="AO111" s="29">
        <v>902</v>
      </c>
      <c r="AP111" s="29">
        <v>1092</v>
      </c>
      <c r="AQ111" s="29">
        <v>1128</v>
      </c>
      <c r="AR111" s="29">
        <v>1036</v>
      </c>
      <c r="AS111" s="29">
        <f>AS102+AS103+AS104+469</f>
        <v>1126</v>
      </c>
      <c r="AT111" s="29">
        <v>1148</v>
      </c>
      <c r="AU111" s="26">
        <v>1247</v>
      </c>
      <c r="AV111"/>
      <c r="AW111" s="7" t="s">
        <v>134</v>
      </c>
      <c r="AX111"/>
      <c r="AY111"/>
      <c r="AZ111"/>
      <c r="BB111" s="7" t="s">
        <v>163</v>
      </c>
      <c r="BC111" s="34">
        <f t="shared" si="73"/>
        <v>3783</v>
      </c>
      <c r="BD111" s="34">
        <f t="shared" si="74"/>
        <v>4557</v>
      </c>
      <c r="BE111" s="35">
        <f t="shared" si="75"/>
        <v>0.20459952418715305</v>
      </c>
      <c r="BF111" s="35">
        <f t="shared" si="76"/>
        <v>2.6901440385298736E-2</v>
      </c>
    </row>
    <row r="112" spans="1:73" x14ac:dyDescent="0.3">
      <c r="A112" s="24" t="s">
        <v>43</v>
      </c>
      <c r="B112" s="7" t="s">
        <v>132</v>
      </c>
      <c r="C112" s="34">
        <v>588</v>
      </c>
      <c r="D112" s="34">
        <v>636</v>
      </c>
      <c r="E112" s="34">
        <v>533</v>
      </c>
      <c r="F112" s="34">
        <v>699</v>
      </c>
      <c r="G112" s="34">
        <v>774</v>
      </c>
      <c r="H112" s="34">
        <v>874</v>
      </c>
      <c r="I112" s="34">
        <v>939</v>
      </c>
      <c r="J112" s="34">
        <v>1031</v>
      </c>
      <c r="N112" s="24" t="s">
        <v>43</v>
      </c>
      <c r="O112" s="7" t="s">
        <v>132</v>
      </c>
      <c r="P112" s="29">
        <v>141</v>
      </c>
      <c r="Q112" s="29">
        <v>147</v>
      </c>
      <c r="R112" s="29">
        <v>151</v>
      </c>
      <c r="S112" s="29">
        <v>149</v>
      </c>
      <c r="T112" s="29">
        <v>146</v>
      </c>
      <c r="U112" s="29">
        <v>157</v>
      </c>
      <c r="V112" s="29">
        <v>164</v>
      </c>
      <c r="W112" s="29">
        <v>169</v>
      </c>
      <c r="X112" s="29">
        <v>143</v>
      </c>
      <c r="Y112" s="29">
        <v>91</v>
      </c>
      <c r="Z112" s="29">
        <v>147</v>
      </c>
      <c r="AA112" s="29">
        <v>152</v>
      </c>
      <c r="AB112" s="29">
        <v>144</v>
      </c>
      <c r="AC112" s="29">
        <v>169</v>
      </c>
      <c r="AD112" s="29">
        <v>187</v>
      </c>
      <c r="AE112" s="29">
        <v>199</v>
      </c>
      <c r="AF112" s="29">
        <v>183</v>
      </c>
      <c r="AG112" s="29">
        <v>190</v>
      </c>
      <c r="AH112" s="29">
        <v>199</v>
      </c>
      <c r="AI112" s="29">
        <v>202</v>
      </c>
      <c r="AJ112" s="29">
        <v>208</v>
      </c>
      <c r="AK112" s="29">
        <v>226</v>
      </c>
      <c r="AL112" s="29">
        <v>236</v>
      </c>
      <c r="AM112" s="29">
        <v>204</v>
      </c>
      <c r="AN112" s="29">
        <v>222</v>
      </c>
      <c r="AO112" s="29">
        <v>233</v>
      </c>
      <c r="AP112" s="29">
        <v>244</v>
      </c>
      <c r="AQ112" s="29">
        <v>240</v>
      </c>
      <c r="AR112" s="29">
        <v>170</v>
      </c>
      <c r="AS112" s="29">
        <f>250-49</f>
        <v>201</v>
      </c>
      <c r="AT112" s="29">
        <v>273</v>
      </c>
      <c r="AU112" s="26">
        <v>387</v>
      </c>
      <c r="AV112"/>
      <c r="AW112" s="7" t="s">
        <v>132</v>
      </c>
      <c r="AX112"/>
      <c r="AY112"/>
      <c r="AZ112"/>
      <c r="BB112" s="7" t="s">
        <v>164</v>
      </c>
      <c r="BC112" s="34">
        <f t="shared" si="73"/>
        <v>939</v>
      </c>
      <c r="BD112" s="34">
        <f t="shared" si="74"/>
        <v>1031</v>
      </c>
      <c r="BE112" s="35">
        <f t="shared" si="75"/>
        <v>9.79765708200213E-2</v>
      </c>
      <c r="BF112" s="35">
        <f t="shared" si="76"/>
        <v>9.6640366105877895E-2</v>
      </c>
    </row>
    <row r="113" spans="1:58" ht="16.2" thickBot="1" x14ac:dyDescent="0.35">
      <c r="A113" s="24"/>
      <c r="B113" s="6" t="s">
        <v>77</v>
      </c>
      <c r="C113" s="53">
        <f t="shared" ref="C113:H113" si="77">SUM(C110:C112)</f>
        <v>5357</v>
      </c>
      <c r="D113" s="53">
        <f t="shared" si="77"/>
        <v>5603</v>
      </c>
      <c r="E113" s="53">
        <f t="shared" si="77"/>
        <v>4968</v>
      </c>
      <c r="F113" s="53">
        <f t="shared" si="77"/>
        <v>5739</v>
      </c>
      <c r="G113" s="53">
        <f t="shared" si="77"/>
        <v>6505</v>
      </c>
      <c r="H113" s="53">
        <f t="shared" si="77"/>
        <v>7022</v>
      </c>
      <c r="I113" s="53">
        <f t="shared" ref="I113:J113" si="78">SUM(I110:I112)</f>
        <v>8406</v>
      </c>
      <c r="J113" s="53">
        <f t="shared" si="78"/>
        <v>9434</v>
      </c>
      <c r="N113" s="24"/>
      <c r="O113" s="6" t="s">
        <v>77</v>
      </c>
      <c r="P113" s="53">
        <f t="shared" ref="P113:AU113" si="79">SUM(P110:P112)</f>
        <v>1254</v>
      </c>
      <c r="Q113" s="53">
        <f t="shared" si="79"/>
        <v>1343</v>
      </c>
      <c r="R113" s="53">
        <f t="shared" si="79"/>
        <v>1375</v>
      </c>
      <c r="S113" s="53">
        <f t="shared" si="79"/>
        <v>1385</v>
      </c>
      <c r="T113" s="53">
        <f t="shared" si="79"/>
        <v>1266</v>
      </c>
      <c r="U113" s="53">
        <f t="shared" si="79"/>
        <v>1400</v>
      </c>
      <c r="V113" s="53">
        <f t="shared" si="79"/>
        <v>1458</v>
      </c>
      <c r="W113" s="53">
        <f t="shared" si="79"/>
        <v>1479</v>
      </c>
      <c r="X113" s="53">
        <f t="shared" si="79"/>
        <v>1225</v>
      </c>
      <c r="Y113" s="53">
        <f t="shared" si="79"/>
        <v>1048</v>
      </c>
      <c r="Z113" s="53">
        <f t="shared" si="79"/>
        <v>1337</v>
      </c>
      <c r="AA113" s="53">
        <f t="shared" si="79"/>
        <v>1358</v>
      </c>
      <c r="AB113" s="53">
        <f t="shared" si="79"/>
        <v>1260</v>
      </c>
      <c r="AC113" s="53">
        <f t="shared" si="79"/>
        <v>1438</v>
      </c>
      <c r="AD113" s="53">
        <f t="shared" si="79"/>
        <v>1495</v>
      </c>
      <c r="AE113" s="53">
        <f t="shared" si="79"/>
        <v>1546</v>
      </c>
      <c r="AF113" s="53">
        <f t="shared" si="79"/>
        <v>1451</v>
      </c>
      <c r="AG113" s="53">
        <f t="shared" si="79"/>
        <v>1639</v>
      </c>
      <c r="AH113" s="53">
        <f t="shared" si="79"/>
        <v>1726</v>
      </c>
      <c r="AI113" s="53">
        <f t="shared" si="79"/>
        <v>1689</v>
      </c>
      <c r="AJ113" s="53">
        <f t="shared" si="79"/>
        <v>1590</v>
      </c>
      <c r="AK113" s="53">
        <f t="shared" si="79"/>
        <v>1775</v>
      </c>
      <c r="AL113" s="53">
        <f t="shared" si="79"/>
        <v>1837</v>
      </c>
      <c r="AM113" s="53">
        <f t="shared" si="79"/>
        <v>1820</v>
      </c>
      <c r="AN113" s="53">
        <f t="shared" si="79"/>
        <v>1739</v>
      </c>
      <c r="AO113" s="53">
        <f t="shared" si="79"/>
        <v>2080</v>
      </c>
      <c r="AP113" s="53">
        <f t="shared" si="79"/>
        <v>2291</v>
      </c>
      <c r="AQ113" s="53">
        <f t="shared" si="79"/>
        <v>2296</v>
      </c>
      <c r="AR113" s="53">
        <f t="shared" si="79"/>
        <v>2109</v>
      </c>
      <c r="AS113" s="53">
        <f t="shared" si="79"/>
        <v>2410</v>
      </c>
      <c r="AT113" s="53">
        <f t="shared" si="79"/>
        <v>2449</v>
      </c>
      <c r="AU113" s="53">
        <f t="shared" si="79"/>
        <v>2466</v>
      </c>
      <c r="AV113"/>
      <c r="AW113" s="6" t="s">
        <v>77</v>
      </c>
      <c r="AX113"/>
      <c r="AY113"/>
      <c r="AZ113"/>
      <c r="BE113" s="2"/>
      <c r="BF113" s="2"/>
    </row>
    <row r="114" spans="1:58" ht="16.2" thickTop="1" x14ac:dyDescent="0.3">
      <c r="AI114"/>
      <c r="AJ114"/>
      <c r="AK114"/>
      <c r="AL114"/>
      <c r="AM114"/>
      <c r="AN114"/>
      <c r="AO114"/>
      <c r="AP114"/>
      <c r="AQ114"/>
      <c r="AR114"/>
      <c r="AS114"/>
      <c r="AT114"/>
      <c r="AU114"/>
      <c r="AV114"/>
      <c r="AW114" s="51"/>
      <c r="AX114"/>
      <c r="AY114"/>
      <c r="AZ114"/>
      <c r="BE114" s="2"/>
      <c r="BF114" s="2"/>
    </row>
    <row r="115" spans="1:58" x14ac:dyDescent="0.3">
      <c r="AI115"/>
      <c r="AJ115"/>
      <c r="AK115"/>
      <c r="AL115"/>
      <c r="AM115"/>
      <c r="AN115"/>
      <c r="AO115"/>
      <c r="AP115"/>
      <c r="AQ115"/>
      <c r="AR115"/>
      <c r="AS115"/>
      <c r="AT115"/>
      <c r="AU115"/>
      <c r="AV115"/>
      <c r="AW115" s="51"/>
      <c r="AX115"/>
      <c r="AY115"/>
      <c r="AZ115"/>
      <c r="BE115" s="2"/>
      <c r="BF115" s="2"/>
    </row>
    <row r="116" spans="1:58" x14ac:dyDescent="0.3">
      <c r="A116" s="16" t="s">
        <v>68</v>
      </c>
      <c r="B116" s="8" t="s">
        <v>165</v>
      </c>
      <c r="C116" s="8">
        <v>2018</v>
      </c>
      <c r="D116" s="8">
        <v>2019</v>
      </c>
      <c r="E116" s="8">
        <v>2020</v>
      </c>
      <c r="F116" s="9">
        <v>2021</v>
      </c>
      <c r="G116" s="10">
        <v>2022</v>
      </c>
      <c r="H116" s="11">
        <v>2023</v>
      </c>
      <c r="I116" s="12">
        <v>2024</v>
      </c>
      <c r="J116" s="13">
        <v>2025</v>
      </c>
      <c r="N116" s="16" t="s">
        <v>68</v>
      </c>
      <c r="O116" s="8" t="s">
        <v>165</v>
      </c>
      <c r="P116" s="16" t="s">
        <v>125</v>
      </c>
      <c r="Q116" s="16" t="s">
        <v>126</v>
      </c>
      <c r="R116" s="16" t="s">
        <v>9</v>
      </c>
      <c r="S116" s="17" t="s">
        <v>100</v>
      </c>
      <c r="T116" s="16" t="s">
        <v>11</v>
      </c>
      <c r="U116" s="16" t="s">
        <v>12</v>
      </c>
      <c r="V116" s="16" t="s">
        <v>101</v>
      </c>
      <c r="W116" s="17" t="s">
        <v>102</v>
      </c>
      <c r="X116" s="16" t="s">
        <v>103</v>
      </c>
      <c r="Y116" s="16" t="s">
        <v>104</v>
      </c>
      <c r="Z116" s="16" t="s">
        <v>105</v>
      </c>
      <c r="AA116" s="17" t="s">
        <v>106</v>
      </c>
      <c r="AB116" s="16" t="s">
        <v>107</v>
      </c>
      <c r="AC116" s="16" t="s">
        <v>108</v>
      </c>
      <c r="AD116" s="16" t="s">
        <v>109</v>
      </c>
      <c r="AE116" s="17" t="s">
        <v>110</v>
      </c>
      <c r="AF116" s="16" t="s">
        <v>111</v>
      </c>
      <c r="AG116" s="16" t="s">
        <v>112</v>
      </c>
      <c r="AH116" s="16" t="s">
        <v>113</v>
      </c>
      <c r="AI116" s="17" t="s">
        <v>114</v>
      </c>
      <c r="AJ116" s="16" t="s">
        <v>115</v>
      </c>
      <c r="AK116" s="16" t="s">
        <v>116</v>
      </c>
      <c r="AL116" s="16" t="s">
        <v>117</v>
      </c>
      <c r="AM116" s="17" t="s">
        <v>30</v>
      </c>
      <c r="AN116" s="16" t="s">
        <v>31</v>
      </c>
      <c r="AO116" s="16" t="s">
        <v>32</v>
      </c>
      <c r="AP116" s="16" t="s">
        <v>118</v>
      </c>
      <c r="AQ116" s="17" t="s">
        <v>119</v>
      </c>
      <c r="AR116" s="16" t="s">
        <v>120</v>
      </c>
      <c r="AS116" s="16" t="s">
        <v>121</v>
      </c>
      <c r="AT116" s="16" t="s">
        <v>127</v>
      </c>
      <c r="AU116" s="17" t="s">
        <v>122</v>
      </c>
      <c r="AV116"/>
      <c r="AW116" s="8" t="s">
        <v>165</v>
      </c>
      <c r="AX116"/>
      <c r="AY116"/>
      <c r="AZ116"/>
      <c r="BB116"/>
      <c r="BC116" s="20" t="s">
        <v>123</v>
      </c>
      <c r="BD116" s="20" t="s">
        <v>39</v>
      </c>
      <c r="BE116" s="20" t="s">
        <v>41</v>
      </c>
      <c r="BF116" s="20" t="s">
        <v>42</v>
      </c>
    </row>
    <row r="117" spans="1:58" x14ac:dyDescent="0.3">
      <c r="A117" s="24" t="s">
        <v>43</v>
      </c>
      <c r="B117" s="7" t="s">
        <v>166</v>
      </c>
      <c r="C117" s="29">
        <v>2355</v>
      </c>
      <c r="D117" s="29">
        <v>2362</v>
      </c>
      <c r="E117" s="29">
        <v>2013</v>
      </c>
      <c r="F117" s="29">
        <v>2378</v>
      </c>
      <c r="G117" s="29">
        <v>2819</v>
      </c>
      <c r="H117" s="34">
        <v>2950</v>
      </c>
      <c r="I117" s="34">
        <v>4301</v>
      </c>
      <c r="J117" s="34">
        <v>5257</v>
      </c>
      <c r="N117" s="24" t="s">
        <v>43</v>
      </c>
      <c r="O117" s="7" t="s">
        <v>166</v>
      </c>
      <c r="P117" s="29"/>
      <c r="Q117" s="29"/>
      <c r="R117" s="29"/>
      <c r="S117" s="29"/>
      <c r="T117" s="29">
        <v>522</v>
      </c>
      <c r="U117" s="29">
        <v>589</v>
      </c>
      <c r="V117" s="29">
        <v>624</v>
      </c>
      <c r="W117" s="29">
        <v>627</v>
      </c>
      <c r="X117" s="29">
        <v>503</v>
      </c>
      <c r="Y117" s="29">
        <v>406</v>
      </c>
      <c r="Z117" s="29">
        <v>541</v>
      </c>
      <c r="AA117" s="29">
        <v>563</v>
      </c>
      <c r="AB117" s="29">
        <v>507</v>
      </c>
      <c r="AC117" s="29">
        <v>590</v>
      </c>
      <c r="AD117" s="29">
        <v>621</v>
      </c>
      <c r="AE117" s="29">
        <v>660</v>
      </c>
      <c r="AF117" s="29">
        <v>609</v>
      </c>
      <c r="AG117" s="29">
        <v>708</v>
      </c>
      <c r="AH117" s="29">
        <v>759</v>
      </c>
      <c r="AI117" s="29">
        <v>743</v>
      </c>
      <c r="AJ117" s="29">
        <v>668</v>
      </c>
      <c r="AK117" s="29">
        <v>744</v>
      </c>
      <c r="AL117" s="29">
        <v>771</v>
      </c>
      <c r="AM117" s="29">
        <v>767</v>
      </c>
      <c r="AN117" s="29">
        <v>729</v>
      </c>
      <c r="AO117" s="29">
        <f>682+347</f>
        <v>1029</v>
      </c>
      <c r="AP117" s="29">
        <v>1266</v>
      </c>
      <c r="AQ117" s="29">
        <v>1277</v>
      </c>
      <c r="AR117" s="29">
        <v>1169</v>
      </c>
      <c r="AS117" s="29">
        <f>732+600</f>
        <v>1332</v>
      </c>
      <c r="AT117" s="29">
        <f>769+588</f>
        <v>1357</v>
      </c>
      <c r="AU117" s="26">
        <v>1399</v>
      </c>
      <c r="AV117"/>
      <c r="AW117" s="7" t="s">
        <v>167</v>
      </c>
      <c r="AX117"/>
      <c r="AY117"/>
      <c r="AZ117"/>
      <c r="BB117" s="7" t="s">
        <v>168</v>
      </c>
      <c r="BC117" s="34">
        <f t="shared" ref="BC117:BC119" si="80">SUM(AN117:AQ117)</f>
        <v>4301</v>
      </c>
      <c r="BD117" s="34">
        <f t="shared" ref="BD117:BD119" si="81">SUM(AR117:AU117)</f>
        <v>5257</v>
      </c>
      <c r="BE117" s="35">
        <f t="shared" ref="BE117:BE119" si="82">(BD117-BC117)/ABS(BC117)</f>
        <v>0.22227388979307139</v>
      </c>
      <c r="BF117" s="35">
        <f t="shared" ref="BF117:BF119" si="83">(AU117/AP117)^(1/5)-1</f>
        <v>2.0179991917072648E-2</v>
      </c>
    </row>
    <row r="118" spans="1:58" x14ac:dyDescent="0.3">
      <c r="A118" s="24" t="s">
        <v>43</v>
      </c>
      <c r="B118" s="7" t="s">
        <v>169</v>
      </c>
      <c r="C118" s="67">
        <v>3002</v>
      </c>
      <c r="D118" s="67">
        <v>3241</v>
      </c>
      <c r="E118" s="67">
        <v>2121</v>
      </c>
      <c r="F118" s="67">
        <v>2443</v>
      </c>
      <c r="G118" s="67">
        <v>2661</v>
      </c>
      <c r="H118" s="34">
        <v>2903</v>
      </c>
      <c r="I118" s="34">
        <v>2990</v>
      </c>
      <c r="J118" s="34">
        <v>2960</v>
      </c>
      <c r="N118" s="24" t="s">
        <v>43</v>
      </c>
      <c r="O118" s="7" t="s">
        <v>169</v>
      </c>
      <c r="P118" s="29"/>
      <c r="Q118" s="29"/>
      <c r="R118" s="29"/>
      <c r="S118" s="29"/>
      <c r="T118" s="29">
        <v>744</v>
      </c>
      <c r="U118" s="29">
        <v>811</v>
      </c>
      <c r="V118" s="29">
        <v>834</v>
      </c>
      <c r="W118" s="29">
        <v>852</v>
      </c>
      <c r="X118" s="29">
        <v>525</v>
      </c>
      <c r="Y118" s="29">
        <v>450</v>
      </c>
      <c r="Z118" s="29">
        <v>577</v>
      </c>
      <c r="AA118" s="29">
        <v>569</v>
      </c>
      <c r="AB118" s="29">
        <v>548</v>
      </c>
      <c r="AC118" s="29">
        <v>612</v>
      </c>
      <c r="AD118" s="29">
        <v>635</v>
      </c>
      <c r="AE118" s="29">
        <v>648</v>
      </c>
      <c r="AF118" s="29">
        <v>615</v>
      </c>
      <c r="AG118" s="29">
        <v>676</v>
      </c>
      <c r="AH118" s="29">
        <v>698</v>
      </c>
      <c r="AI118" s="29">
        <v>672</v>
      </c>
      <c r="AJ118" s="29">
        <v>668</v>
      </c>
      <c r="AK118" s="29">
        <v>742</v>
      </c>
      <c r="AL118" s="29">
        <v>753</v>
      </c>
      <c r="AM118" s="29">
        <v>740</v>
      </c>
      <c r="AN118" s="29">
        <v>712</v>
      </c>
      <c r="AO118" s="29">
        <v>747</v>
      </c>
      <c r="AP118" s="29">
        <v>735</v>
      </c>
      <c r="AQ118" s="29">
        <v>796</v>
      </c>
      <c r="AR118" s="29">
        <v>663</v>
      </c>
      <c r="AS118" s="29">
        <v>760</v>
      </c>
      <c r="AT118" s="29">
        <v>778</v>
      </c>
      <c r="AU118" s="26">
        <v>759</v>
      </c>
      <c r="AV118"/>
      <c r="AW118" s="7" t="s">
        <v>170</v>
      </c>
      <c r="AX118"/>
      <c r="AY118"/>
      <c r="AZ118"/>
      <c r="BB118" s="7" t="s">
        <v>171</v>
      </c>
      <c r="BC118" s="34">
        <f t="shared" si="80"/>
        <v>2990</v>
      </c>
      <c r="BD118" s="34">
        <f t="shared" si="81"/>
        <v>2960</v>
      </c>
      <c r="BE118" s="35">
        <f t="shared" si="82"/>
        <v>-1.0033444816053512E-2</v>
      </c>
      <c r="BF118" s="35">
        <f t="shared" si="83"/>
        <v>6.4469483190536803E-3</v>
      </c>
    </row>
    <row r="119" spans="1:58" x14ac:dyDescent="0.3">
      <c r="A119" s="24" t="s">
        <v>43</v>
      </c>
      <c r="B119" t="s">
        <v>172</v>
      </c>
      <c r="C119" s="67">
        <v>0</v>
      </c>
      <c r="D119" s="67">
        <v>0</v>
      </c>
      <c r="E119" s="67">
        <v>834</v>
      </c>
      <c r="F119" s="67">
        <v>918</v>
      </c>
      <c r="G119" s="67">
        <v>1025</v>
      </c>
      <c r="H119" s="34">
        <v>1169</v>
      </c>
      <c r="I119" s="34">
        <v>1115</v>
      </c>
      <c r="J119" s="34">
        <v>1217</v>
      </c>
      <c r="N119" s="24" t="s">
        <v>43</v>
      </c>
      <c r="O119" t="s">
        <v>172</v>
      </c>
      <c r="P119" s="29"/>
      <c r="Q119" s="29"/>
      <c r="R119" s="29"/>
      <c r="S119" s="29"/>
      <c r="T119" s="29"/>
      <c r="U119" s="29"/>
      <c r="V119" s="29"/>
      <c r="W119" s="29"/>
      <c r="X119" s="29">
        <v>197</v>
      </c>
      <c r="Y119" s="29">
        <v>192</v>
      </c>
      <c r="Z119" s="29">
        <v>219</v>
      </c>
      <c r="AA119" s="29">
        <v>226</v>
      </c>
      <c r="AB119" s="29">
        <v>205</v>
      </c>
      <c r="AC119" s="29">
        <v>236</v>
      </c>
      <c r="AD119" s="29">
        <v>239</v>
      </c>
      <c r="AE119" s="29">
        <v>238</v>
      </c>
      <c r="AF119" s="29">
        <v>227</v>
      </c>
      <c r="AG119" s="29">
        <v>255</v>
      </c>
      <c r="AH119" s="29">
        <v>269</v>
      </c>
      <c r="AI119" s="29">
        <v>274</v>
      </c>
      <c r="AJ119" s="29">
        <v>254</v>
      </c>
      <c r="AK119" s="29">
        <v>289</v>
      </c>
      <c r="AL119" s="29">
        <v>313</v>
      </c>
      <c r="AM119" s="29">
        <v>313</v>
      </c>
      <c r="AN119" s="29">
        <v>298</v>
      </c>
      <c r="AO119" s="29">
        <v>304</v>
      </c>
      <c r="AP119" s="29">
        <v>290</v>
      </c>
      <c r="AQ119" s="29">
        <v>223</v>
      </c>
      <c r="AR119" s="29">
        <v>277</v>
      </c>
      <c r="AS119" s="29">
        <v>318</v>
      </c>
      <c r="AT119" s="29">
        <v>314</v>
      </c>
      <c r="AU119" s="26">
        <v>308</v>
      </c>
      <c r="AV119"/>
      <c r="AW119" t="s">
        <v>172</v>
      </c>
      <c r="AX119"/>
      <c r="AY119"/>
      <c r="AZ119"/>
      <c r="BB119" s="7" t="s">
        <v>173</v>
      </c>
      <c r="BC119" s="34">
        <f t="shared" si="80"/>
        <v>1115</v>
      </c>
      <c r="BD119" s="34">
        <f t="shared" si="81"/>
        <v>1217</v>
      </c>
      <c r="BE119" s="35">
        <f t="shared" si="82"/>
        <v>9.1479820627802688E-2</v>
      </c>
      <c r="BF119" s="35">
        <f t="shared" si="83"/>
        <v>1.2116590262473359E-2</v>
      </c>
    </row>
    <row r="120" spans="1:58" ht="16.2" thickBot="1" x14ac:dyDescent="0.35">
      <c r="B120" s="6" t="s">
        <v>77</v>
      </c>
      <c r="C120" s="54">
        <f t="shared" ref="C120:I120" si="84">SUM(C117:C119)</f>
        <v>5357</v>
      </c>
      <c r="D120" s="54">
        <f t="shared" si="84"/>
        <v>5603</v>
      </c>
      <c r="E120" s="54">
        <f t="shared" si="84"/>
        <v>4968</v>
      </c>
      <c r="F120" s="54">
        <f t="shared" si="84"/>
        <v>5739</v>
      </c>
      <c r="G120" s="54">
        <f t="shared" si="84"/>
        <v>6505</v>
      </c>
      <c r="H120" s="54">
        <f t="shared" si="84"/>
        <v>7022</v>
      </c>
      <c r="I120" s="54">
        <f t="shared" si="84"/>
        <v>8406</v>
      </c>
      <c r="J120" s="54">
        <f t="shared" ref="J120" si="85">SUM(J117:J119)</f>
        <v>9434</v>
      </c>
      <c r="O120" s="6" t="s">
        <v>77</v>
      </c>
      <c r="P120" s="53">
        <f t="shared" ref="P120:V120" si="86">SUM(P117:P118)</f>
        <v>0</v>
      </c>
      <c r="Q120" s="53">
        <f t="shared" si="86"/>
        <v>0</v>
      </c>
      <c r="R120" s="53">
        <f t="shared" si="86"/>
        <v>0</v>
      </c>
      <c r="S120" s="53">
        <f t="shared" si="86"/>
        <v>0</v>
      </c>
      <c r="T120" s="53">
        <f t="shared" si="86"/>
        <v>1266</v>
      </c>
      <c r="U120" s="53">
        <f t="shared" si="86"/>
        <v>1400</v>
      </c>
      <c r="V120" s="53">
        <f t="shared" si="86"/>
        <v>1458</v>
      </c>
      <c r="W120" s="53">
        <f t="shared" ref="W120:AJ120" si="87">SUM(W117:W119)</f>
        <v>1479</v>
      </c>
      <c r="X120" s="53">
        <f t="shared" si="87"/>
        <v>1225</v>
      </c>
      <c r="Y120" s="53">
        <f t="shared" si="87"/>
        <v>1048</v>
      </c>
      <c r="Z120" s="53">
        <f t="shared" si="87"/>
        <v>1337</v>
      </c>
      <c r="AA120" s="53">
        <f t="shared" si="87"/>
        <v>1358</v>
      </c>
      <c r="AB120" s="53">
        <f t="shared" si="87"/>
        <v>1260</v>
      </c>
      <c r="AC120" s="53">
        <f t="shared" si="87"/>
        <v>1438</v>
      </c>
      <c r="AD120" s="53">
        <f t="shared" si="87"/>
        <v>1495</v>
      </c>
      <c r="AE120" s="53">
        <f t="shared" si="87"/>
        <v>1546</v>
      </c>
      <c r="AF120" s="53">
        <f t="shared" si="87"/>
        <v>1451</v>
      </c>
      <c r="AG120" s="53">
        <f t="shared" si="87"/>
        <v>1639</v>
      </c>
      <c r="AH120" s="53">
        <f t="shared" si="87"/>
        <v>1726</v>
      </c>
      <c r="AI120" s="53">
        <f t="shared" si="87"/>
        <v>1689</v>
      </c>
      <c r="AJ120" s="53">
        <f t="shared" si="87"/>
        <v>1590</v>
      </c>
      <c r="AK120" s="53">
        <f>SUM(AK117:AK119)</f>
        <v>1775</v>
      </c>
      <c r="AL120" s="53">
        <f t="shared" ref="AL120:AN120" si="88">SUM(AL117:AL119)</f>
        <v>1837</v>
      </c>
      <c r="AM120" s="53">
        <f t="shared" si="88"/>
        <v>1820</v>
      </c>
      <c r="AN120" s="53">
        <f t="shared" si="88"/>
        <v>1739</v>
      </c>
      <c r="AO120" s="53">
        <f>SUM(AO117:AO119)</f>
        <v>2080</v>
      </c>
      <c r="AP120" s="53">
        <f t="shared" ref="AP120:AR120" si="89">SUM(AP117:AP119)</f>
        <v>2291</v>
      </c>
      <c r="AQ120" s="53">
        <f t="shared" si="89"/>
        <v>2296</v>
      </c>
      <c r="AR120" s="53">
        <f t="shared" si="89"/>
        <v>2109</v>
      </c>
      <c r="AS120" s="53">
        <f>SUM(AS117:AS119)</f>
        <v>2410</v>
      </c>
      <c r="AT120" s="53">
        <f t="shared" ref="AT120:AU120" si="90">SUM(AT117:AT119)</f>
        <v>2449</v>
      </c>
      <c r="AU120" s="53">
        <f t="shared" si="90"/>
        <v>2466</v>
      </c>
      <c r="AV120"/>
      <c r="AW120" s="6" t="s">
        <v>77</v>
      </c>
      <c r="AX120"/>
      <c r="AY120"/>
      <c r="AZ120"/>
      <c r="BB120"/>
      <c r="BC120"/>
      <c r="BD120"/>
    </row>
    <row r="121" spans="1:58" ht="16.2" thickTop="1" x14ac:dyDescent="0.3">
      <c r="B121" s="79" t="s">
        <v>174</v>
      </c>
      <c r="AI121"/>
      <c r="AJ121"/>
      <c r="AK121"/>
      <c r="AL121"/>
      <c r="AM121"/>
      <c r="AN121"/>
      <c r="AO121"/>
      <c r="AP121"/>
      <c r="AQ121"/>
      <c r="AR121"/>
      <c r="AS121"/>
      <c r="AT121"/>
      <c r="AU121"/>
      <c r="AV121"/>
      <c r="AW121" s="79" t="s">
        <v>174</v>
      </c>
      <c r="AX121"/>
      <c r="AY121"/>
      <c r="AZ121"/>
      <c r="BB121"/>
      <c r="BC121"/>
      <c r="BD121"/>
    </row>
    <row r="122" spans="1:58" x14ac:dyDescent="0.3">
      <c r="B122" s="7" t="s">
        <v>175</v>
      </c>
      <c r="O122" s="7" t="s">
        <v>176</v>
      </c>
      <c r="P122" s="71"/>
      <c r="AI122"/>
      <c r="AJ122"/>
      <c r="AK122"/>
      <c r="AL122"/>
      <c r="AM122"/>
      <c r="AN122"/>
      <c r="AO122"/>
      <c r="AP122"/>
      <c r="AQ122"/>
      <c r="AR122"/>
      <c r="AS122"/>
      <c r="AT122"/>
      <c r="AU122"/>
      <c r="AV122"/>
      <c r="AW122" s="7" t="s">
        <v>175</v>
      </c>
      <c r="AX122"/>
      <c r="AY122"/>
      <c r="AZ122"/>
      <c r="BB122"/>
      <c r="BC122"/>
      <c r="BD122"/>
    </row>
    <row r="123" spans="1:58" x14ac:dyDescent="0.3">
      <c r="B123" s="7"/>
      <c r="O123" s="7"/>
      <c r="P123" s="71"/>
      <c r="AI123"/>
      <c r="AJ123"/>
      <c r="AK123"/>
      <c r="AL123"/>
      <c r="AM123"/>
      <c r="AN123"/>
      <c r="AO123"/>
      <c r="AP123"/>
      <c r="AQ123"/>
      <c r="AR123"/>
      <c r="AS123"/>
      <c r="AT123"/>
      <c r="AU123"/>
      <c r="AV123"/>
      <c r="AW123" s="7"/>
      <c r="AX123"/>
      <c r="AY123"/>
      <c r="AZ123"/>
      <c r="BB123"/>
      <c r="BC123"/>
      <c r="BD123"/>
    </row>
    <row r="124" spans="1:58" x14ac:dyDescent="0.3">
      <c r="B124" s="7"/>
      <c r="O124" s="7"/>
      <c r="P124" s="71"/>
      <c r="AI124"/>
      <c r="AJ124"/>
      <c r="AK124"/>
      <c r="AL124"/>
      <c r="AM124"/>
      <c r="AN124"/>
      <c r="AO124"/>
      <c r="AP124"/>
      <c r="AQ124"/>
      <c r="AR124"/>
      <c r="AS124"/>
      <c r="AT124"/>
      <c r="AU124"/>
      <c r="AV124"/>
      <c r="AW124" s="7"/>
      <c r="AX124"/>
      <c r="AY124"/>
      <c r="AZ124"/>
      <c r="BB124"/>
      <c r="BC124"/>
      <c r="BD124"/>
    </row>
    <row r="125" spans="1:58" x14ac:dyDescent="0.3">
      <c r="A125" s="6" t="s">
        <v>177</v>
      </c>
      <c r="B125" s="7"/>
      <c r="C125" s="8">
        <v>2018</v>
      </c>
      <c r="D125" s="8">
        <v>2019</v>
      </c>
      <c r="E125" s="8">
        <v>2020</v>
      </c>
      <c r="F125" s="9">
        <v>2021</v>
      </c>
      <c r="G125" s="10">
        <v>2022</v>
      </c>
      <c r="H125" s="11">
        <v>2023</v>
      </c>
      <c r="I125" s="12">
        <v>2024</v>
      </c>
      <c r="J125" s="13">
        <v>2025</v>
      </c>
      <c r="K125" s="80" t="s">
        <v>99</v>
      </c>
      <c r="L125" s="81"/>
      <c r="M125" s="81"/>
      <c r="N125" s="6" t="s">
        <v>177</v>
      </c>
      <c r="O125" s="7"/>
      <c r="P125" s="16" t="s">
        <v>125</v>
      </c>
      <c r="Q125" s="16" t="s">
        <v>126</v>
      </c>
      <c r="R125" s="16" t="s">
        <v>9</v>
      </c>
      <c r="S125" s="17" t="s">
        <v>100</v>
      </c>
      <c r="T125" s="16" t="s">
        <v>11</v>
      </c>
      <c r="U125" s="16" t="s">
        <v>12</v>
      </c>
      <c r="V125" s="16" t="s">
        <v>101</v>
      </c>
      <c r="W125" s="17" t="s">
        <v>102</v>
      </c>
      <c r="X125" s="16" t="s">
        <v>103</v>
      </c>
      <c r="Y125" s="16" t="s">
        <v>104</v>
      </c>
      <c r="Z125" s="16" t="s">
        <v>105</v>
      </c>
      <c r="AA125" s="17" t="s">
        <v>106</v>
      </c>
      <c r="AB125" s="16" t="s">
        <v>107</v>
      </c>
      <c r="AC125" s="16" t="s">
        <v>108</v>
      </c>
      <c r="AD125" s="16" t="s">
        <v>109</v>
      </c>
      <c r="AE125" s="17" t="s">
        <v>110</v>
      </c>
      <c r="AF125" s="16" t="s">
        <v>111</v>
      </c>
      <c r="AG125" s="16" t="s">
        <v>112</v>
      </c>
      <c r="AH125" s="16" t="s">
        <v>113</v>
      </c>
      <c r="AI125" s="17" t="s">
        <v>114</v>
      </c>
      <c r="AJ125" s="16" t="s">
        <v>115</v>
      </c>
      <c r="AK125" s="16" t="s">
        <v>116</v>
      </c>
      <c r="AL125" s="16" t="s">
        <v>117</v>
      </c>
      <c r="AM125" s="17" t="s">
        <v>30</v>
      </c>
      <c r="AN125" s="16" t="s">
        <v>31</v>
      </c>
      <c r="AO125" s="16" t="s">
        <v>32</v>
      </c>
      <c r="AP125" s="16" t="s">
        <v>118</v>
      </c>
      <c r="AQ125" s="17" t="s">
        <v>119</v>
      </c>
      <c r="AR125" s="16" t="s">
        <v>120</v>
      </c>
      <c r="AS125" s="16" t="s">
        <v>121</v>
      </c>
      <c r="AT125" s="16" t="s">
        <v>127</v>
      </c>
      <c r="AU125" s="17" t="s">
        <v>122</v>
      </c>
      <c r="AV125"/>
      <c r="AW125" s="51"/>
      <c r="AX125"/>
      <c r="AY125"/>
      <c r="AZ125"/>
      <c r="BB125" s="7"/>
      <c r="BC125" s="20" t="s">
        <v>123</v>
      </c>
      <c r="BD125" s="20" t="s">
        <v>39</v>
      </c>
      <c r="BE125" s="20" t="s">
        <v>41</v>
      </c>
      <c r="BF125" s="20" t="s">
        <v>42</v>
      </c>
    </row>
    <row r="126" spans="1:58" x14ac:dyDescent="0.3">
      <c r="A126" s="24" t="s">
        <v>178</v>
      </c>
      <c r="B126" s="7" t="s">
        <v>44</v>
      </c>
      <c r="C126" s="36"/>
      <c r="D126" s="36">
        <v>3024.9340000000002</v>
      </c>
      <c r="E126" s="36">
        <v>4033.4180000000001</v>
      </c>
      <c r="F126" s="36">
        <v>7965.3230000000003</v>
      </c>
      <c r="G126" s="36">
        <v>13292.982</v>
      </c>
      <c r="H126" s="36">
        <v>24903.166000000001</v>
      </c>
      <c r="I126" s="36">
        <v>34474.813999999998</v>
      </c>
      <c r="J126" s="27">
        <v>49288.091</v>
      </c>
      <c r="K126" s="36"/>
      <c r="L126" s="36"/>
      <c r="M126" s="36"/>
      <c r="N126" s="24" t="s">
        <v>178</v>
      </c>
      <c r="O126" s="7" t="s">
        <v>44</v>
      </c>
      <c r="P126" s="30"/>
      <c r="Q126" s="30"/>
      <c r="R126" s="30"/>
      <c r="S126" s="30">
        <v>465.43299999999999</v>
      </c>
      <c r="T126" s="30">
        <v>478.51000000000022</v>
      </c>
      <c r="U126" s="30">
        <v>653.39400000000001</v>
      </c>
      <c r="V126" s="30">
        <v>843.16099999999994</v>
      </c>
      <c r="W126" s="30">
        <v>1049.8689999999999</v>
      </c>
      <c r="X126" s="30">
        <v>772.25850000000003</v>
      </c>
      <c r="Y126" s="30">
        <v>772.25850000000003</v>
      </c>
      <c r="Z126" s="30">
        <v>1143.0229999999999</v>
      </c>
      <c r="AA126" s="30">
        <v>1345.8779999999999</v>
      </c>
      <c r="AB126" s="30">
        <v>1268.703</v>
      </c>
      <c r="AC126" s="30">
        <v>1913.748</v>
      </c>
      <c r="AD126" s="30">
        <v>2350.2080000000001</v>
      </c>
      <c r="AE126" s="30">
        <v>2432.6640000000002</v>
      </c>
      <c r="AF126" s="30">
        <v>2404.598</v>
      </c>
      <c r="AG126" s="30">
        <v>3298.7269999999999</v>
      </c>
      <c r="AH126" s="30">
        <v>3894.643</v>
      </c>
      <c r="AI126" s="30">
        <v>3695.0140000000001</v>
      </c>
      <c r="AJ126" s="30">
        <v>4436.7269999999999</v>
      </c>
      <c r="AK126" s="30">
        <v>6201.4290000000001</v>
      </c>
      <c r="AL126" s="30">
        <v>7200.0389999999998</v>
      </c>
      <c r="AM126" s="30">
        <v>7064.9709999999995</v>
      </c>
      <c r="AN126" s="30">
        <v>6278.143</v>
      </c>
      <c r="AO126" s="30">
        <v>8402.6280000000006</v>
      </c>
      <c r="AP126" s="30">
        <v>10180.766</v>
      </c>
      <c r="AQ126" s="30">
        <v>9613.277</v>
      </c>
      <c r="AR126" s="30">
        <v>8865.4110000000001</v>
      </c>
      <c r="AS126" s="30">
        <v>12358.74</v>
      </c>
      <c r="AT126" s="30">
        <v>15287.11</v>
      </c>
      <c r="AU126" s="30">
        <v>12776.83</v>
      </c>
      <c r="AV126"/>
      <c r="AW126" s="51"/>
      <c r="AX126"/>
      <c r="AY126"/>
      <c r="AZ126"/>
      <c r="BB126" s="7" t="s">
        <v>179</v>
      </c>
      <c r="BC126" s="34">
        <f t="shared" ref="BC126" si="91">SUM(AN126:AQ126)</f>
        <v>34474.813999999998</v>
      </c>
      <c r="BD126" s="34">
        <f t="shared" ref="BD126" si="92">SUM(AR126:AU126)</f>
        <v>49288.091</v>
      </c>
      <c r="BE126" s="35">
        <f t="shared" ref="BE126" si="93">(BD126-BC126)/ABS(BC126)</f>
        <v>0.42968402962232088</v>
      </c>
      <c r="BF126" s="35">
        <f t="shared" ref="BF126" si="94">(AU126/AP126)^(1/5)-1</f>
        <v>4.6474215807637442E-2</v>
      </c>
    </row>
    <row r="127" spans="1:58" x14ac:dyDescent="0.3">
      <c r="A127" s="24" t="s">
        <v>178</v>
      </c>
      <c r="B127" s="7" t="s">
        <v>46</v>
      </c>
      <c r="C127" s="25"/>
      <c r="D127" s="25">
        <v>1401.6100000000001</v>
      </c>
      <c r="E127" s="25">
        <v>2038.038</v>
      </c>
      <c r="F127" s="25">
        <v>4766.7710000000006</v>
      </c>
      <c r="G127" s="62">
        <v>8114.0190000000002</v>
      </c>
      <c r="H127" s="62">
        <v>14010.952000000001</v>
      </c>
      <c r="I127" s="36">
        <v>20359.514999999999</v>
      </c>
      <c r="J127" s="27">
        <v>30466.955000000002</v>
      </c>
      <c r="K127" s="36"/>
      <c r="L127" s="36"/>
      <c r="M127" s="36"/>
      <c r="N127" s="24" t="s">
        <v>178</v>
      </c>
      <c r="O127" s="7" t="s">
        <v>46</v>
      </c>
      <c r="P127" s="30"/>
      <c r="Q127" s="30"/>
      <c r="R127" s="30"/>
      <c r="S127" s="30">
        <v>170.05399999999997</v>
      </c>
      <c r="T127" s="30">
        <v>202.69800000000032</v>
      </c>
      <c r="U127" s="36">
        <v>283.03899999999999</v>
      </c>
      <c r="V127" s="36">
        <v>399.70299999999992</v>
      </c>
      <c r="W127" s="36">
        <v>516.16999999999996</v>
      </c>
      <c r="X127" s="36">
        <v>350.6875</v>
      </c>
      <c r="Y127" s="36">
        <v>350.6875</v>
      </c>
      <c r="Z127" s="36">
        <v>614.72799999999995</v>
      </c>
      <c r="AA127" s="36">
        <v>721.93499999999995</v>
      </c>
      <c r="AB127" s="36">
        <v>729.38</v>
      </c>
      <c r="AC127" s="36">
        <v>1153.4180000000001</v>
      </c>
      <c r="AD127" s="36">
        <v>1430.3220000000001</v>
      </c>
      <c r="AE127" s="36">
        <v>1453.6510000000003</v>
      </c>
      <c r="AF127" s="36">
        <v>1421.4470000000001</v>
      </c>
      <c r="AG127" s="36">
        <v>2036.7909999999999</v>
      </c>
      <c r="AH127" s="36">
        <v>2454.1689999999999</v>
      </c>
      <c r="AI127" s="36">
        <v>2201.6120000000001</v>
      </c>
      <c r="AJ127" s="36">
        <v>2682.0729999999999</v>
      </c>
      <c r="AK127" s="36">
        <v>3739.924</v>
      </c>
      <c r="AL127" s="36">
        <v>4033.4689999999996</v>
      </c>
      <c r="AM127" s="36">
        <v>4555.485999999999</v>
      </c>
      <c r="AN127" s="36">
        <v>3333.7130000000002</v>
      </c>
      <c r="AO127" s="36">
        <v>5034.3910000000005</v>
      </c>
      <c r="AP127" s="36">
        <v>6225.3269999999993</v>
      </c>
      <c r="AQ127" s="36">
        <v>5766.0839999999998</v>
      </c>
      <c r="AR127" s="36">
        <v>5292.415</v>
      </c>
      <c r="AS127" s="36">
        <v>7758.29</v>
      </c>
      <c r="AT127" s="36">
        <v>9747.19</v>
      </c>
      <c r="AU127" s="36">
        <v>7669.06</v>
      </c>
      <c r="AV127"/>
      <c r="AW127" s="51"/>
      <c r="AX127"/>
      <c r="AY127"/>
      <c r="AZ127"/>
      <c r="BB127"/>
      <c r="BC127"/>
      <c r="BD127"/>
    </row>
    <row r="128" spans="1:58" x14ac:dyDescent="0.3">
      <c r="A128" s="24" t="s">
        <v>178</v>
      </c>
      <c r="B128" s="7" t="s">
        <v>47</v>
      </c>
      <c r="C128" s="36"/>
      <c r="D128" s="36">
        <v>-3212.1149999999998</v>
      </c>
      <c r="E128" s="36">
        <v>-2587.268</v>
      </c>
      <c r="F128" s="36">
        <v>-539.05399999999997</v>
      </c>
      <c r="G128" s="36">
        <v>1156.1790000000001</v>
      </c>
      <c r="H128" s="36">
        <v>3025.6179999999999</v>
      </c>
      <c r="I128" s="40">
        <v>3538.0610000000001</v>
      </c>
      <c r="J128" s="27">
        <v>5043.3779999999997</v>
      </c>
      <c r="K128" s="36"/>
      <c r="L128" s="36"/>
      <c r="M128" s="36"/>
      <c r="N128" s="24" t="s">
        <v>178</v>
      </c>
      <c r="O128" s="7" t="s">
        <v>47</v>
      </c>
      <c r="P128" s="30"/>
      <c r="Q128" s="30"/>
      <c r="R128" s="30"/>
      <c r="S128" s="30">
        <v>-643.99900000000002</v>
      </c>
      <c r="T128" s="30">
        <v>-527.09099999999989</v>
      </c>
      <c r="U128" s="30">
        <v>-765.68600000000004</v>
      </c>
      <c r="V128" s="30">
        <v>-782.03</v>
      </c>
      <c r="W128" s="30">
        <v>-1137.308</v>
      </c>
      <c r="X128" s="30">
        <v>-817.92750000000001</v>
      </c>
      <c r="Y128" s="30">
        <v>-817.92750000000001</v>
      </c>
      <c r="Z128" s="30">
        <v>-462.49200000000002</v>
      </c>
      <c r="AA128" s="30">
        <v>-488.92099999999999</v>
      </c>
      <c r="AB128" s="30">
        <v>-364.04300000000001</v>
      </c>
      <c r="AC128" s="30">
        <v>-47.502000000000002</v>
      </c>
      <c r="AD128" s="30">
        <v>-6.7320000000000002</v>
      </c>
      <c r="AE128" s="30">
        <v>-120.777</v>
      </c>
      <c r="AF128" s="30">
        <v>16.062000000000001</v>
      </c>
      <c r="AG128" s="30">
        <v>241.62299999999999</v>
      </c>
      <c r="AH128" s="30">
        <v>585.26400000000001</v>
      </c>
      <c r="AI128" s="30">
        <v>313.23</v>
      </c>
      <c r="AJ128" s="30">
        <v>678.36500000000001</v>
      </c>
      <c r="AK128" s="30">
        <v>1172.816</v>
      </c>
      <c r="AL128" s="30">
        <v>961.72400000000005</v>
      </c>
      <c r="AM128" s="30">
        <v>212.71299999999999</v>
      </c>
      <c r="AN128" s="30">
        <v>-65.106999999999999</v>
      </c>
      <c r="AO128" s="30">
        <v>1050.682</v>
      </c>
      <c r="AP128" s="30">
        <v>1557.472</v>
      </c>
      <c r="AQ128" s="30">
        <v>995.01400000000001</v>
      </c>
      <c r="AR128" s="30">
        <v>737.16800000000001</v>
      </c>
      <c r="AS128" s="30">
        <v>1701.53</v>
      </c>
      <c r="AT128" s="30">
        <v>1778.84</v>
      </c>
      <c r="AU128" s="30">
        <v>825.84</v>
      </c>
      <c r="AV128"/>
      <c r="AW128" s="51"/>
      <c r="AX128"/>
      <c r="AY128"/>
      <c r="AZ128"/>
      <c r="BB128"/>
      <c r="BC128"/>
      <c r="BD128"/>
    </row>
    <row r="129" spans="1:58" x14ac:dyDescent="0.3">
      <c r="A129" s="24" t="s">
        <v>178</v>
      </c>
      <c r="B129" s="7" t="s">
        <v>48</v>
      </c>
      <c r="C129" s="36"/>
      <c r="D129" s="36">
        <v>-3712.596</v>
      </c>
      <c r="E129" s="36">
        <v>-5589.1049999999996</v>
      </c>
      <c r="F129" s="36">
        <v>578.65300000000002</v>
      </c>
      <c r="G129" s="36">
        <v>488.24599999999998</v>
      </c>
      <c r="H129" s="36">
        <v>2847.933</v>
      </c>
      <c r="I129" s="40">
        <v>2931.703</v>
      </c>
      <c r="J129" s="27">
        <v>3572.1079999999997</v>
      </c>
      <c r="K129" s="36"/>
      <c r="L129" s="36"/>
      <c r="M129" s="36"/>
      <c r="N129" s="24" t="s">
        <v>178</v>
      </c>
      <c r="O129" s="7" t="s">
        <v>48</v>
      </c>
      <c r="P129" s="30"/>
      <c r="Q129" s="30"/>
      <c r="R129" s="30"/>
      <c r="S129" s="30">
        <v>-1446.1890000000001</v>
      </c>
      <c r="T129" s="30">
        <v>-1105.9470000000001</v>
      </c>
      <c r="U129" s="30">
        <v>-757.25900000000001</v>
      </c>
      <c r="V129" s="30">
        <v>-722.99699999999996</v>
      </c>
      <c r="W129" s="30">
        <v>-1126.393</v>
      </c>
      <c r="X129" s="30">
        <v>-777.82150000000001</v>
      </c>
      <c r="Y129" s="30">
        <v>-777.82150000000001</v>
      </c>
      <c r="Z129" s="30">
        <v>-1711.394</v>
      </c>
      <c r="AA129" s="30">
        <v>-2322.0680000000002</v>
      </c>
      <c r="AB129" s="30">
        <v>-232.58199999999999</v>
      </c>
      <c r="AC129" s="30">
        <v>21.035</v>
      </c>
      <c r="AD129" s="30">
        <v>-23.509</v>
      </c>
      <c r="AE129" s="30">
        <v>921.32600000000002</v>
      </c>
      <c r="AF129" s="30">
        <v>19.835000000000001</v>
      </c>
      <c r="AG129" s="30">
        <v>-114.70699999999999</v>
      </c>
      <c r="AH129" s="30">
        <v>528.59699999999998</v>
      </c>
      <c r="AI129" s="30">
        <v>54.521000000000001</v>
      </c>
      <c r="AJ129" s="30">
        <v>564.81700000000001</v>
      </c>
      <c r="AK129" s="30">
        <v>998.70399999999995</v>
      </c>
      <c r="AL129" s="30">
        <v>988.01099999999997</v>
      </c>
      <c r="AM129" s="30">
        <v>296.40100000000001</v>
      </c>
      <c r="AN129" s="30">
        <v>-83.174000000000007</v>
      </c>
      <c r="AO129" s="30">
        <v>871.10299999999995</v>
      </c>
      <c r="AP129" s="30">
        <v>1302.6410000000001</v>
      </c>
      <c r="AQ129" s="30">
        <v>841.13300000000004</v>
      </c>
      <c r="AR129" s="30">
        <v>525.05799999999999</v>
      </c>
      <c r="AS129" s="30">
        <v>1250.54</v>
      </c>
      <c r="AT129" s="30">
        <v>1278.32</v>
      </c>
      <c r="AU129" s="30">
        <v>518.19000000000005</v>
      </c>
      <c r="AV129"/>
      <c r="AW129" s="51"/>
      <c r="AX129"/>
      <c r="AY129"/>
      <c r="AZ129"/>
      <c r="BB129"/>
      <c r="BC129"/>
      <c r="BD129"/>
    </row>
    <row r="130" spans="1:58" x14ac:dyDescent="0.3">
      <c r="A130" s="24" t="s">
        <v>178</v>
      </c>
      <c r="B130" s="39" t="s">
        <v>49</v>
      </c>
      <c r="C130" s="50"/>
      <c r="D130" s="50">
        <v>-2376.8319999999999</v>
      </c>
      <c r="E130" s="50">
        <v>-2376.8319999999999</v>
      </c>
      <c r="F130" s="50">
        <v>123.447</v>
      </c>
      <c r="G130" s="40">
        <v>19.818000000000001</v>
      </c>
      <c r="H130" s="40">
        <v>2900.4250000000002</v>
      </c>
      <c r="I130" s="36">
        <v>4229.2719999999999</v>
      </c>
      <c r="J130" s="40">
        <v>6091.06</v>
      </c>
      <c r="K130" s="40"/>
      <c r="L130" s="36"/>
      <c r="M130" s="36"/>
      <c r="N130" s="24" t="s">
        <v>50</v>
      </c>
      <c r="O130" s="7" t="s">
        <v>51</v>
      </c>
      <c r="P130" s="35"/>
      <c r="Q130" s="35"/>
      <c r="R130" s="35"/>
      <c r="S130" s="35">
        <f>S129/S126</f>
        <v>-3.1071905086231535</v>
      </c>
      <c r="T130" s="35">
        <f>T129/T126</f>
        <v>-2.3112306952832742</v>
      </c>
      <c r="U130" s="35">
        <f>U129/U126</f>
        <v>-1.1589622800331807</v>
      </c>
      <c r="V130" s="35">
        <f>V129/V126</f>
        <v>-0.85748392062725864</v>
      </c>
      <c r="W130" s="35">
        <f>W129/W126</f>
        <v>-1.0728890937821767</v>
      </c>
      <c r="X130" s="35">
        <f t="shared" ref="X130:AU130" si="95">X129/X126</f>
        <v>-1.007203546480874</v>
      </c>
      <c r="Y130" s="35">
        <f>Y129/Y126</f>
        <v>-1.007203546480874</v>
      </c>
      <c r="Z130" s="35">
        <f t="shared" si="95"/>
        <v>-1.4972524612365632</v>
      </c>
      <c r="AA130" s="35">
        <f t="shared" si="95"/>
        <v>-1.7253183423757579</v>
      </c>
      <c r="AB130" s="35">
        <f t="shared" si="95"/>
        <v>-0.18332265313473681</v>
      </c>
      <c r="AC130" s="35">
        <f t="shared" si="95"/>
        <v>1.0991520304658711E-2</v>
      </c>
      <c r="AD130" s="35">
        <f t="shared" si="95"/>
        <v>-1.0002944420238549E-2</v>
      </c>
      <c r="AE130" s="35">
        <f t="shared" si="95"/>
        <v>0.37873130033576358</v>
      </c>
      <c r="AF130" s="35">
        <f t="shared" si="95"/>
        <v>8.2487800455627106E-3</v>
      </c>
      <c r="AG130" s="35">
        <f t="shared" si="95"/>
        <v>-3.477311096068271E-2</v>
      </c>
      <c r="AH130" s="35">
        <f t="shared" si="95"/>
        <v>0.13572412156903726</v>
      </c>
      <c r="AI130" s="35">
        <f t="shared" si="95"/>
        <v>1.4755289154520118E-2</v>
      </c>
      <c r="AJ130" s="35">
        <f t="shared" si="95"/>
        <v>0.12730488037690849</v>
      </c>
      <c r="AK130" s="35">
        <f t="shared" si="95"/>
        <v>0.16104417223836634</v>
      </c>
      <c r="AL130" s="35">
        <f t="shared" si="95"/>
        <v>0.13722300670871365</v>
      </c>
      <c r="AM130" s="35">
        <f t="shared" si="95"/>
        <v>4.195360462201473E-2</v>
      </c>
      <c r="AN130" s="35">
        <f t="shared" si="95"/>
        <v>-1.3248185012670149E-2</v>
      </c>
      <c r="AO130" s="35">
        <f t="shared" si="95"/>
        <v>0.1036703041000982</v>
      </c>
      <c r="AP130" s="35">
        <f t="shared" si="95"/>
        <v>0.12795117774045686</v>
      </c>
      <c r="AQ130" s="35">
        <f t="shared" si="95"/>
        <v>8.7497010644757248E-2</v>
      </c>
      <c r="AR130" s="35">
        <f t="shared" si="95"/>
        <v>5.9225454973266325E-2</v>
      </c>
      <c r="AS130" s="35">
        <f t="shared" si="95"/>
        <v>0.10118669055259678</v>
      </c>
      <c r="AT130" s="35">
        <f t="shared" si="95"/>
        <v>8.3620775934758099E-2</v>
      </c>
      <c r="AU130" s="35">
        <f t="shared" si="95"/>
        <v>4.0557008272004876E-2</v>
      </c>
      <c r="AV130"/>
      <c r="AW130" s="51"/>
      <c r="AX130"/>
      <c r="AY130"/>
      <c r="AZ130"/>
      <c r="BB130"/>
      <c r="BC130"/>
      <c r="BD130"/>
    </row>
    <row r="131" spans="1:58" x14ac:dyDescent="0.3">
      <c r="A131" s="24" t="s">
        <v>178</v>
      </c>
      <c r="B131" s="39" t="s">
        <v>52</v>
      </c>
      <c r="C131" s="50"/>
      <c r="D131" s="50">
        <v>-4089.165</v>
      </c>
      <c r="E131" s="50">
        <v>-4089.165</v>
      </c>
      <c r="F131" s="50">
        <v>460.447</v>
      </c>
      <c r="G131" s="40">
        <v>-769.22800000000007</v>
      </c>
      <c r="H131" s="40">
        <v>-546.67399999999998</v>
      </c>
      <c r="I131" s="36">
        <v>1019.4659999999999</v>
      </c>
      <c r="J131" s="40">
        <v>2726.0600000000004</v>
      </c>
      <c r="K131" s="40"/>
      <c r="L131" s="36"/>
      <c r="M131" s="36"/>
      <c r="N131" s="24" t="s">
        <v>50</v>
      </c>
      <c r="O131" s="7" t="s">
        <v>53</v>
      </c>
      <c r="P131" s="35"/>
      <c r="Q131" s="35"/>
      <c r="R131" s="35"/>
      <c r="S131" s="35">
        <f>S127/S126</f>
        <v>0.36536730313493021</v>
      </c>
      <c r="T131" s="35">
        <f>T127/T126</f>
        <v>0.42360243255104435</v>
      </c>
      <c r="U131" s="35">
        <f>U127/U126</f>
        <v>0.43318273507255955</v>
      </c>
      <c r="V131" s="35">
        <f>V127/V126</f>
        <v>0.47405299818184182</v>
      </c>
      <c r="W131" s="35">
        <f>W127/W126</f>
        <v>0.49165181560747101</v>
      </c>
      <c r="X131" s="35">
        <f t="shared" ref="X131:AU131" si="96">X127/X126</f>
        <v>0.45410636464344517</v>
      </c>
      <c r="Y131" s="35">
        <f t="shared" si="96"/>
        <v>0.45410636464344517</v>
      </c>
      <c r="Z131" s="35">
        <f t="shared" si="96"/>
        <v>0.53780895047606214</v>
      </c>
      <c r="AA131" s="35">
        <f t="shared" si="96"/>
        <v>0.53640448837115995</v>
      </c>
      <c r="AB131" s="35">
        <f t="shared" si="96"/>
        <v>0.57490208504275631</v>
      </c>
      <c r="AC131" s="35">
        <f t="shared" si="96"/>
        <v>0.60270108708147574</v>
      </c>
      <c r="AD131" s="35">
        <f t="shared" si="96"/>
        <v>0.60859379254942547</v>
      </c>
      <c r="AE131" s="35">
        <f t="shared" si="96"/>
        <v>0.59755519052364003</v>
      </c>
      <c r="AF131" s="35">
        <f t="shared" si="96"/>
        <v>0.59113706324300364</v>
      </c>
      <c r="AG131" s="35">
        <f t="shared" si="96"/>
        <v>0.6174475790206343</v>
      </c>
      <c r="AH131" s="35">
        <f t="shared" si="96"/>
        <v>0.63013965593252064</v>
      </c>
      <c r="AI131" s="35">
        <f t="shared" si="96"/>
        <v>0.59583319576055738</v>
      </c>
      <c r="AJ131" s="35">
        <f t="shared" si="96"/>
        <v>0.60451612190698234</v>
      </c>
      <c r="AK131" s="35">
        <f t="shared" si="96"/>
        <v>0.6030745494304619</v>
      </c>
      <c r="AL131" s="35">
        <f t="shared" si="96"/>
        <v>0.56020099335573037</v>
      </c>
      <c r="AM131" s="35">
        <f t="shared" si="96"/>
        <v>0.64479896661996194</v>
      </c>
      <c r="AN131" s="35">
        <f t="shared" si="96"/>
        <v>0.53100303704455287</v>
      </c>
      <c r="AO131" s="35">
        <f t="shared" si="96"/>
        <v>0.59914481516973028</v>
      </c>
      <c r="AP131" s="35">
        <f t="shared" si="96"/>
        <v>0.61147923447017638</v>
      </c>
      <c r="AQ131" s="35">
        <f t="shared" si="96"/>
        <v>0.59980420828402214</v>
      </c>
      <c r="AR131" s="35">
        <f t="shared" si="96"/>
        <v>0.59697345108985922</v>
      </c>
      <c r="AS131" s="35">
        <f t="shared" si="96"/>
        <v>0.62775736037816154</v>
      </c>
      <c r="AT131" s="35">
        <f t="shared" si="96"/>
        <v>0.63760841650253053</v>
      </c>
      <c r="AU131" s="35">
        <f t="shared" si="96"/>
        <v>0.6002318258910857</v>
      </c>
      <c r="AV131"/>
      <c r="AW131" s="51"/>
      <c r="AX131"/>
      <c r="AY131"/>
      <c r="AZ131"/>
      <c r="BB131"/>
      <c r="BC131"/>
      <c r="BD131"/>
    </row>
    <row r="132" spans="1:58" x14ac:dyDescent="0.3">
      <c r="A132" s="24" t="s">
        <v>50</v>
      </c>
      <c r="B132" s="7" t="s">
        <v>54</v>
      </c>
      <c r="C132" s="63"/>
      <c r="D132" s="82">
        <v>2.59813487650099</v>
      </c>
      <c r="E132" s="82">
        <v>0.33339041446854706</v>
      </c>
      <c r="F132" s="82">
        <v>0.97483201592297153</v>
      </c>
      <c r="G132" s="82">
        <v>0.66885661761613424</v>
      </c>
      <c r="H132" s="82">
        <v>0.87340703538152697</v>
      </c>
      <c r="I132" s="82">
        <v>0.38435466398127838</v>
      </c>
      <c r="J132" s="45">
        <v>42.968402962232091</v>
      </c>
      <c r="K132" s="44"/>
      <c r="L132" s="44"/>
      <c r="M132" s="44"/>
      <c r="N132" s="7"/>
      <c r="O132" s="49"/>
      <c r="P132" s="7"/>
      <c r="Q132" s="35"/>
      <c r="R132" s="35"/>
      <c r="S132" s="35"/>
      <c r="T132" s="35"/>
      <c r="U132" s="35"/>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c r="AW132" s="51"/>
      <c r="AX132"/>
      <c r="AY132"/>
      <c r="AZ132"/>
      <c r="BB132"/>
      <c r="BC132"/>
      <c r="BD132"/>
    </row>
    <row r="133" spans="1:58" x14ac:dyDescent="0.3">
      <c r="A133" s="24" t="s">
        <v>50</v>
      </c>
      <c r="B133" s="7" t="s">
        <v>55</v>
      </c>
      <c r="C133" s="63"/>
      <c r="D133" s="82">
        <v>-1.0100769333782225</v>
      </c>
      <c r="E133" s="82">
        <v>0.19452821583287017</v>
      </c>
      <c r="F133" s="82">
        <v>0.79165127076128172</v>
      </c>
      <c r="G133" s="82">
        <v>3.1448296460094913</v>
      </c>
      <c r="H133" s="82">
        <v>1.6169113952078351</v>
      </c>
      <c r="I133" s="82">
        <v>0.16936804315680307</v>
      </c>
      <c r="J133" s="45">
        <v>42.546383456927387</v>
      </c>
      <c r="K133" s="44"/>
      <c r="L133" s="44"/>
      <c r="M133" s="44"/>
      <c r="N133" s="7"/>
      <c r="O133" s="49"/>
      <c r="P133" s="7"/>
      <c r="Q133" s="35"/>
      <c r="R133" s="35"/>
      <c r="S133" s="35"/>
      <c r="T133" s="35"/>
      <c r="U133" s="35"/>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c r="AW133" s="51"/>
      <c r="AX133"/>
      <c r="AY133"/>
      <c r="AZ133"/>
      <c r="BB133"/>
      <c r="BC133"/>
      <c r="BD133"/>
    </row>
    <row r="134" spans="1:58" x14ac:dyDescent="0.3">
      <c r="A134" s="24" t="s">
        <v>50</v>
      </c>
      <c r="B134" s="7" t="s">
        <v>56</v>
      </c>
      <c r="C134" s="63"/>
      <c r="D134" s="82">
        <v>-0.16370135540667535</v>
      </c>
      <c r="E134" s="82">
        <v>-0.50544389963249425</v>
      </c>
      <c r="F134" s="82">
        <v>1.1035323186807191</v>
      </c>
      <c r="G134" s="82">
        <v>-0.15623698485966553</v>
      </c>
      <c r="H134" s="82">
        <v>4.8329878790609655</v>
      </c>
      <c r="I134" s="82">
        <v>2.9414315575541975E-2</v>
      </c>
      <c r="J134" s="45">
        <v>21.844129504250592</v>
      </c>
      <c r="K134" s="44"/>
      <c r="L134" s="44"/>
      <c r="M134" s="44"/>
      <c r="N134" s="7"/>
      <c r="O134" s="49"/>
      <c r="P134" s="7"/>
      <c r="Q134" s="35"/>
      <c r="R134" s="35"/>
      <c r="S134" s="35"/>
      <c r="T134" s="35"/>
      <c r="U134" s="35"/>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c r="AW134" s="51"/>
      <c r="AX134"/>
      <c r="AY134"/>
      <c r="AZ134"/>
      <c r="BB134"/>
      <c r="BC134"/>
      <c r="BD134"/>
    </row>
    <row r="135" spans="1:58" x14ac:dyDescent="0.3">
      <c r="A135" s="24" t="s">
        <v>57</v>
      </c>
      <c r="B135" s="7" t="s">
        <v>58</v>
      </c>
      <c r="C135" s="43"/>
      <c r="D135" s="82">
        <v>-1.2273312409460835</v>
      </c>
      <c r="E135" s="82">
        <v>-1.385699424160848</v>
      </c>
      <c r="F135" s="82">
        <v>7.2646520423591113E-2</v>
      </c>
      <c r="G135" s="82">
        <v>3.6729606645070308E-2</v>
      </c>
      <c r="H135" s="82">
        <v>0.11436027852844091</v>
      </c>
      <c r="I135" s="82">
        <v>8.5038979470636156E-2</v>
      </c>
      <c r="J135" s="45">
        <v>7.2474058693001515</v>
      </c>
      <c r="K135" s="44"/>
      <c r="L135" s="44"/>
      <c r="M135" s="44"/>
      <c r="N135" s="7"/>
      <c r="O135" s="49"/>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c r="AW135" s="51"/>
      <c r="AX135"/>
      <c r="AY135"/>
      <c r="AZ135"/>
      <c r="BB135"/>
      <c r="BC135"/>
      <c r="BD135"/>
    </row>
    <row r="136" spans="1:58" x14ac:dyDescent="0.3">
      <c r="A136" s="24" t="s">
        <v>57</v>
      </c>
      <c r="B136" s="7" t="s">
        <v>59</v>
      </c>
      <c r="C136" s="63"/>
      <c r="D136" s="82">
        <v>0.46335225826414728</v>
      </c>
      <c r="E136" s="82">
        <v>0.50528807081239779</v>
      </c>
      <c r="F136" s="82">
        <v>0.59844038967409108</v>
      </c>
      <c r="G136" s="82">
        <v>0.61039870512124372</v>
      </c>
      <c r="H136" s="82">
        <v>0.56261729934258164</v>
      </c>
      <c r="I136" s="82">
        <v>0.5905619969407232</v>
      </c>
      <c r="J136" s="45">
        <v>61.814029275347671</v>
      </c>
      <c r="K136" s="44"/>
      <c r="L136" s="44"/>
      <c r="M136" s="44"/>
      <c r="N136" s="7"/>
      <c r="O136" s="49"/>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c r="AW136" s="51"/>
      <c r="AX136"/>
      <c r="AY136"/>
      <c r="AZ136"/>
      <c r="BB136"/>
      <c r="BC136"/>
      <c r="BD136"/>
    </row>
    <row r="137" spans="1:58" x14ac:dyDescent="0.3">
      <c r="A137" s="24"/>
      <c r="B137" s="7" t="s">
        <v>67</v>
      </c>
      <c r="C137" s="50"/>
      <c r="D137" s="29">
        <v>30121</v>
      </c>
      <c r="E137" s="29">
        <v>21308</v>
      </c>
      <c r="F137" s="26">
        <v>26966</v>
      </c>
      <c r="G137" s="26">
        <v>33604</v>
      </c>
      <c r="H137" s="26">
        <v>74590</v>
      </c>
      <c r="I137" s="26">
        <v>84191</v>
      </c>
      <c r="J137" s="26">
        <v>58993</v>
      </c>
      <c r="K137" s="7"/>
      <c r="L137" s="7"/>
      <c r="M137" s="7"/>
      <c r="N137" s="2"/>
      <c r="O137" s="7"/>
      <c r="P137" s="35"/>
      <c r="Q137" s="35"/>
      <c r="R137" s="35"/>
      <c r="S137" s="35"/>
      <c r="T137" s="35"/>
      <c r="U137" s="35"/>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c r="AW137" s="51"/>
      <c r="AX137"/>
      <c r="AY137"/>
      <c r="AZ137"/>
      <c r="BB137"/>
      <c r="BC137"/>
      <c r="BD137"/>
    </row>
    <row r="138" spans="1:58" x14ac:dyDescent="0.3">
      <c r="P138" s="30"/>
      <c r="Q138" s="30"/>
      <c r="R138" s="30"/>
      <c r="S138" s="30"/>
      <c r="T138" s="30"/>
      <c r="U138" s="30"/>
      <c r="V138" s="30"/>
      <c r="W138" s="30"/>
      <c r="X138" s="30"/>
      <c r="Y138" s="30"/>
      <c r="Z138" s="30"/>
      <c r="AA138" s="30"/>
      <c r="AB138" s="30"/>
      <c r="AC138" s="30"/>
      <c r="AD138" s="30"/>
      <c r="AE138" s="30"/>
      <c r="AF138" s="30"/>
      <c r="AG138" s="30"/>
      <c r="AI138"/>
      <c r="AJ138"/>
      <c r="AK138"/>
      <c r="AL138"/>
      <c r="AM138"/>
      <c r="AN138"/>
      <c r="AO138"/>
      <c r="AP138"/>
      <c r="AQ138"/>
      <c r="AR138"/>
      <c r="AS138"/>
      <c r="AT138"/>
      <c r="AU138"/>
      <c r="AV138"/>
      <c r="AW138" s="51"/>
      <c r="AX138"/>
      <c r="AY138"/>
      <c r="AZ138"/>
      <c r="BB138"/>
      <c r="BC138"/>
      <c r="BD138"/>
    </row>
    <row r="139" spans="1:58" x14ac:dyDescent="0.3">
      <c r="AI139"/>
      <c r="AJ139"/>
      <c r="AK139"/>
      <c r="AL139"/>
      <c r="AM139"/>
      <c r="AN139"/>
      <c r="AO139"/>
      <c r="AP139"/>
      <c r="AQ139"/>
      <c r="AR139"/>
      <c r="AS139"/>
      <c r="AT139"/>
      <c r="AU139"/>
      <c r="AV139"/>
      <c r="AW139" s="51"/>
      <c r="AX139"/>
      <c r="AY139"/>
      <c r="AZ139"/>
      <c r="BB139"/>
      <c r="BC139"/>
      <c r="BD139"/>
    </row>
    <row r="140" spans="1:58" x14ac:dyDescent="0.3">
      <c r="A140" s="16" t="s">
        <v>68</v>
      </c>
      <c r="B140" s="8" t="s">
        <v>87</v>
      </c>
      <c r="C140" s="8">
        <v>2018</v>
      </c>
      <c r="D140" s="8">
        <v>2019</v>
      </c>
      <c r="E140" s="8">
        <v>2020</v>
      </c>
      <c r="F140" s="9">
        <v>2021</v>
      </c>
      <c r="G140" s="10">
        <v>2022</v>
      </c>
      <c r="H140" s="11">
        <v>2023</v>
      </c>
      <c r="I140" s="12">
        <v>2024</v>
      </c>
      <c r="J140" s="13" t="s">
        <v>180</v>
      </c>
      <c r="K140" s="2"/>
      <c r="L140" s="2"/>
      <c r="M140" s="2"/>
      <c r="N140" s="16" t="s">
        <v>68</v>
      </c>
      <c r="O140" s="8" t="s">
        <v>87</v>
      </c>
      <c r="P140" s="16" t="s">
        <v>125</v>
      </c>
      <c r="Q140" s="16" t="s">
        <v>126</v>
      </c>
      <c r="R140" s="16" t="s">
        <v>9</v>
      </c>
      <c r="S140" s="17" t="s">
        <v>100</v>
      </c>
      <c r="T140" s="16" t="s">
        <v>11</v>
      </c>
      <c r="U140" s="16" t="s">
        <v>12</v>
      </c>
      <c r="V140" s="16" t="s">
        <v>101</v>
      </c>
      <c r="W140" s="17" t="s">
        <v>102</v>
      </c>
      <c r="X140" s="16" t="s">
        <v>103</v>
      </c>
      <c r="Y140" s="16" t="s">
        <v>104</v>
      </c>
      <c r="Z140" s="16" t="s">
        <v>105</v>
      </c>
      <c r="AA140" s="17" t="s">
        <v>106</v>
      </c>
      <c r="AB140" s="16" t="s">
        <v>107</v>
      </c>
      <c r="AC140" s="16" t="s">
        <v>108</v>
      </c>
      <c r="AD140" s="16" t="s">
        <v>109</v>
      </c>
      <c r="AE140" s="17" t="s">
        <v>110</v>
      </c>
      <c r="AF140" s="16" t="s">
        <v>111</v>
      </c>
      <c r="AG140" s="16" t="s">
        <v>112</v>
      </c>
      <c r="AH140" s="16" t="s">
        <v>113</v>
      </c>
      <c r="AI140" s="17" t="s">
        <v>114</v>
      </c>
      <c r="AJ140" s="16" t="s">
        <v>115</v>
      </c>
      <c r="AK140" s="16" t="s">
        <v>116</v>
      </c>
      <c r="AL140" s="16" t="s">
        <v>117</v>
      </c>
      <c r="AM140" s="17" t="s">
        <v>30</v>
      </c>
      <c r="AN140" s="16" t="s">
        <v>31</v>
      </c>
      <c r="AO140" s="16" t="s">
        <v>32</v>
      </c>
      <c r="AP140" s="16" t="s">
        <v>118</v>
      </c>
      <c r="AQ140" s="17" t="s">
        <v>119</v>
      </c>
      <c r="AR140" s="16" t="s">
        <v>120</v>
      </c>
      <c r="AS140" s="16" t="s">
        <v>121</v>
      </c>
      <c r="AT140" s="16" t="s">
        <v>127</v>
      </c>
      <c r="AU140" s="17" t="s">
        <v>122</v>
      </c>
      <c r="AV140"/>
      <c r="AW140" s="8" t="s">
        <v>87</v>
      </c>
      <c r="AX140"/>
      <c r="AY140"/>
      <c r="AZ140"/>
      <c r="BB140"/>
      <c r="BC140" s="20" t="s">
        <v>123</v>
      </c>
      <c r="BD140" s="20" t="s">
        <v>39</v>
      </c>
      <c r="BE140" s="20" t="s">
        <v>41</v>
      </c>
      <c r="BF140" s="20" t="s">
        <v>42</v>
      </c>
    </row>
    <row r="141" spans="1:58" x14ac:dyDescent="0.3">
      <c r="A141" s="24" t="s">
        <v>178</v>
      </c>
      <c r="B141" s="7" t="s">
        <v>128</v>
      </c>
      <c r="C141" s="34">
        <v>840.69500000000005</v>
      </c>
      <c r="D141" s="34">
        <v>3009.59</v>
      </c>
      <c r="E141" s="34">
        <v>3716.7910000000002</v>
      </c>
      <c r="F141" s="34">
        <v>6659.2179999999998</v>
      </c>
      <c r="G141" s="34">
        <v>10223.719999999999</v>
      </c>
      <c r="H141" s="34">
        <v>18677.39</v>
      </c>
      <c r="I141" s="34">
        <v>26729.525000000001</v>
      </c>
      <c r="J141" s="34">
        <f>SUM(AQ141:AT141)</f>
        <v>34175.56</v>
      </c>
      <c r="K141" s="2"/>
      <c r="L141" s="2"/>
      <c r="M141" s="2"/>
      <c r="N141" s="24" t="s">
        <v>43</v>
      </c>
      <c r="O141" s="7" t="s">
        <v>128</v>
      </c>
      <c r="P141" s="29"/>
      <c r="Q141" s="29"/>
      <c r="R141" s="29"/>
      <c r="S141" s="29">
        <v>465.43299999999999</v>
      </c>
      <c r="T141" s="29">
        <v>478.51000000000022</v>
      </c>
      <c r="U141" s="29">
        <v>653.39400000000001</v>
      </c>
      <c r="V141" s="29">
        <v>843.16099999999994</v>
      </c>
      <c r="W141" s="29">
        <v>1034.5250000000001</v>
      </c>
      <c r="X141" s="29">
        <v>724.07899999999995</v>
      </c>
      <c r="Y141" s="29">
        <v>724.07899999999995</v>
      </c>
      <c r="Z141" s="29">
        <v>1051.5709999999999</v>
      </c>
      <c r="AA141" s="29">
        <v>1217.6199999999999</v>
      </c>
      <c r="AB141" s="29">
        <v>1106.8320000000001</v>
      </c>
      <c r="AC141" s="29">
        <v>1634.472</v>
      </c>
      <c r="AD141" s="29">
        <v>1934.087</v>
      </c>
      <c r="AE141" s="29">
        <v>1983.827</v>
      </c>
      <c r="AF141" s="29">
        <v>1855.297</v>
      </c>
      <c r="AG141" s="29">
        <v>2521.221</v>
      </c>
      <c r="AH141" s="29">
        <v>2995.5419999999999</v>
      </c>
      <c r="AI141" s="29">
        <v>2851.66</v>
      </c>
      <c r="AJ141" s="29">
        <v>3301.3110000000001</v>
      </c>
      <c r="AK141" s="29">
        <v>4715.5959999999995</v>
      </c>
      <c r="AL141" s="29">
        <v>5359.2619999999997</v>
      </c>
      <c r="AM141" s="29">
        <v>5301.2209999999995</v>
      </c>
      <c r="AN141" s="29">
        <v>4770.16</v>
      </c>
      <c r="AO141" s="29">
        <v>6552.393</v>
      </c>
      <c r="AP141" s="29">
        <v>7839.4790000000003</v>
      </c>
      <c r="AQ141" s="29">
        <v>7567.491</v>
      </c>
      <c r="AR141" s="29">
        <v>6784.5690000000004</v>
      </c>
      <c r="AS141" s="29">
        <v>9491.5</v>
      </c>
      <c r="AT141" s="29">
        <v>10332</v>
      </c>
      <c r="AU141" s="29">
        <v>9930.1209999999992</v>
      </c>
      <c r="AV141"/>
      <c r="AW141" s="7" t="s">
        <v>128</v>
      </c>
      <c r="AX141"/>
      <c r="AY141"/>
      <c r="AZ141"/>
      <c r="BB141" s="7" t="s">
        <v>181</v>
      </c>
      <c r="BC141" s="34">
        <f t="shared" ref="BC141:BC142" si="97">SUM(AN141:AQ141)</f>
        <v>26729.523000000001</v>
      </c>
      <c r="BD141" s="34">
        <f t="shared" ref="BD141:BD142" si="98">SUM(AR141:AU141)</f>
        <v>36538.19</v>
      </c>
      <c r="BE141" s="35">
        <f t="shared" ref="BE141:BE142" si="99">(BD141-BC141)/ABS(BC141)</f>
        <v>0.36696004638765911</v>
      </c>
      <c r="BF141" s="35">
        <f t="shared" ref="BF141:BF142" si="100">(AU141/AP141)^(1/5)-1</f>
        <v>4.8415584135591994E-2</v>
      </c>
    </row>
    <row r="142" spans="1:58" x14ac:dyDescent="0.3">
      <c r="A142" s="24" t="s">
        <v>178</v>
      </c>
      <c r="B142" s="7" t="s">
        <v>182</v>
      </c>
      <c r="C142" s="34">
        <v>0</v>
      </c>
      <c r="D142" s="34">
        <v>15.343999999999999</v>
      </c>
      <c r="E142" s="34">
        <v>316.62700000000001</v>
      </c>
      <c r="F142" s="34">
        <v>1306.105</v>
      </c>
      <c r="G142" s="34">
        <v>3069.2620000000002</v>
      </c>
      <c r="H142" s="34">
        <v>6225.7759999999998</v>
      </c>
      <c r="I142" s="34">
        <v>7745.2910000000002</v>
      </c>
      <c r="J142" s="34">
        <f>SUM(AQ142:AT142)+0.1</f>
        <v>11949.028</v>
      </c>
      <c r="K142" s="2"/>
      <c r="L142" s="2"/>
      <c r="M142" s="2"/>
      <c r="N142" s="24" t="s">
        <v>43</v>
      </c>
      <c r="O142" s="7" t="s">
        <v>130</v>
      </c>
      <c r="P142" s="29"/>
      <c r="Q142" s="29"/>
      <c r="R142" s="29"/>
      <c r="S142" s="29">
        <v>0</v>
      </c>
      <c r="T142" s="29">
        <v>0</v>
      </c>
      <c r="U142" s="29">
        <v>0</v>
      </c>
      <c r="V142" s="29">
        <v>0</v>
      </c>
      <c r="W142" s="29">
        <v>15.343999999999999</v>
      </c>
      <c r="X142" s="29">
        <v>48.179499999999997</v>
      </c>
      <c r="Y142" s="29">
        <v>48.179499999999997</v>
      </c>
      <c r="Z142" s="29">
        <v>91.451999999999998</v>
      </c>
      <c r="AA142" s="29">
        <v>128.816</v>
      </c>
      <c r="AB142" s="29">
        <v>161.87100000000001</v>
      </c>
      <c r="AC142" s="29">
        <v>279.27600000000001</v>
      </c>
      <c r="AD142" s="29">
        <v>416.12099999999998</v>
      </c>
      <c r="AE142" s="29">
        <v>448.83699999999999</v>
      </c>
      <c r="AF142" s="29">
        <v>549.30100000000004</v>
      </c>
      <c r="AG142" s="29">
        <v>777.50599999999997</v>
      </c>
      <c r="AH142" s="29">
        <v>899.101</v>
      </c>
      <c r="AI142" s="29">
        <v>843.35400000000004</v>
      </c>
      <c r="AJ142" s="29">
        <v>1135.4159999999999</v>
      </c>
      <c r="AK142" s="29">
        <v>1485.8330000000001</v>
      </c>
      <c r="AL142" s="29">
        <v>1840.777</v>
      </c>
      <c r="AM142" s="29">
        <v>1763.75</v>
      </c>
      <c r="AN142" s="29">
        <v>1507.9829999999999</v>
      </c>
      <c r="AO142" s="29">
        <v>1850.2349999999999</v>
      </c>
      <c r="AP142" s="29">
        <v>2341.2869999999998</v>
      </c>
      <c r="AQ142" s="29">
        <v>2045.7860000000001</v>
      </c>
      <c r="AR142" s="29">
        <v>2080.8420000000001</v>
      </c>
      <c r="AS142" s="29">
        <v>2867.3</v>
      </c>
      <c r="AT142" s="29">
        <v>4955</v>
      </c>
      <c r="AU142" s="29">
        <v>2846.712</v>
      </c>
      <c r="AV142"/>
      <c r="AW142" s="7" t="s">
        <v>182</v>
      </c>
      <c r="AX142"/>
      <c r="AY142"/>
      <c r="AZ142"/>
      <c r="BB142" s="7" t="s">
        <v>183</v>
      </c>
      <c r="BC142" s="34">
        <f t="shared" si="97"/>
        <v>7745.2909999999993</v>
      </c>
      <c r="BD142" s="34">
        <f t="shared" si="98"/>
        <v>12749.853999999999</v>
      </c>
      <c r="BE142" s="35">
        <f t="shared" si="99"/>
        <v>0.64614266913922291</v>
      </c>
      <c r="BF142" s="35">
        <f t="shared" si="100"/>
        <v>3.9866950936842338E-2</v>
      </c>
    </row>
    <row r="143" spans="1:58" ht="16.2" thickBot="1" x14ac:dyDescent="0.35">
      <c r="A143" s="24"/>
      <c r="B143" s="6" t="s">
        <v>77</v>
      </c>
      <c r="C143" s="53">
        <f t="shared" ref="C143:J143" si="101">SUM(C141:C142)</f>
        <v>840.69500000000005</v>
      </c>
      <c r="D143" s="53">
        <f t="shared" si="101"/>
        <v>3024.9340000000002</v>
      </c>
      <c r="E143" s="53">
        <f t="shared" si="101"/>
        <v>4033.4180000000001</v>
      </c>
      <c r="F143" s="53">
        <f t="shared" si="101"/>
        <v>7965.3230000000003</v>
      </c>
      <c r="G143" s="53">
        <f t="shared" si="101"/>
        <v>13292.982</v>
      </c>
      <c r="H143" s="53">
        <f t="shared" si="101"/>
        <v>24903.165999999997</v>
      </c>
      <c r="I143" s="53">
        <f t="shared" si="101"/>
        <v>34474.815999999999</v>
      </c>
      <c r="J143" s="53">
        <f t="shared" si="101"/>
        <v>46124.587999999996</v>
      </c>
      <c r="K143" s="2"/>
      <c r="L143" s="2"/>
      <c r="M143" s="2"/>
      <c r="N143" s="24"/>
      <c r="O143" s="6" t="s">
        <v>77</v>
      </c>
      <c r="P143" s="53">
        <f t="shared" ref="P143:AU143" si="102">SUM(P141:P142)</f>
        <v>0</v>
      </c>
      <c r="Q143" s="53">
        <f t="shared" si="102"/>
        <v>0</v>
      </c>
      <c r="R143" s="53">
        <f t="shared" si="102"/>
        <v>0</v>
      </c>
      <c r="S143" s="53">
        <f t="shared" si="102"/>
        <v>465.43299999999999</v>
      </c>
      <c r="T143" s="53">
        <f t="shared" si="102"/>
        <v>478.51000000000022</v>
      </c>
      <c r="U143" s="53">
        <f t="shared" si="102"/>
        <v>653.39400000000001</v>
      </c>
      <c r="V143" s="53">
        <f t="shared" si="102"/>
        <v>843.16099999999994</v>
      </c>
      <c r="W143" s="53">
        <f t="shared" si="102"/>
        <v>1049.8690000000001</v>
      </c>
      <c r="X143" s="53">
        <f t="shared" si="102"/>
        <v>772.25849999999991</v>
      </c>
      <c r="Y143" s="53">
        <f t="shared" si="102"/>
        <v>772.25849999999991</v>
      </c>
      <c r="Z143" s="53">
        <f t="shared" si="102"/>
        <v>1143.0229999999999</v>
      </c>
      <c r="AA143" s="53">
        <f t="shared" si="102"/>
        <v>1346.4359999999999</v>
      </c>
      <c r="AB143" s="53">
        <f t="shared" si="102"/>
        <v>1268.7030000000002</v>
      </c>
      <c r="AC143" s="53">
        <f t="shared" si="102"/>
        <v>1913.748</v>
      </c>
      <c r="AD143" s="53">
        <f t="shared" si="102"/>
        <v>2350.2080000000001</v>
      </c>
      <c r="AE143" s="53">
        <f t="shared" si="102"/>
        <v>2432.6639999999998</v>
      </c>
      <c r="AF143" s="53">
        <f t="shared" si="102"/>
        <v>2404.598</v>
      </c>
      <c r="AG143" s="53">
        <f t="shared" si="102"/>
        <v>3298.7269999999999</v>
      </c>
      <c r="AH143" s="53">
        <f t="shared" si="102"/>
        <v>3894.643</v>
      </c>
      <c r="AI143" s="53">
        <f t="shared" si="102"/>
        <v>3695.0140000000001</v>
      </c>
      <c r="AJ143" s="53">
        <f t="shared" si="102"/>
        <v>4436.7269999999999</v>
      </c>
      <c r="AK143" s="53">
        <f t="shared" si="102"/>
        <v>6201.4290000000001</v>
      </c>
      <c r="AL143" s="53">
        <f t="shared" si="102"/>
        <v>7200.0389999999998</v>
      </c>
      <c r="AM143" s="53">
        <f t="shared" si="102"/>
        <v>7064.9709999999995</v>
      </c>
      <c r="AN143" s="53">
        <f t="shared" si="102"/>
        <v>6278.143</v>
      </c>
      <c r="AO143" s="53">
        <f t="shared" si="102"/>
        <v>8402.6280000000006</v>
      </c>
      <c r="AP143" s="53">
        <f t="shared" si="102"/>
        <v>10180.766</v>
      </c>
      <c r="AQ143" s="53">
        <f t="shared" si="102"/>
        <v>9613.277</v>
      </c>
      <c r="AR143" s="53">
        <f t="shared" si="102"/>
        <v>8865.4110000000001</v>
      </c>
      <c r="AS143" s="53">
        <f t="shared" si="102"/>
        <v>12358.8</v>
      </c>
      <c r="AT143" s="53">
        <f t="shared" si="102"/>
        <v>15287</v>
      </c>
      <c r="AU143" s="53">
        <f t="shared" si="102"/>
        <v>12776.832999999999</v>
      </c>
      <c r="AV143"/>
      <c r="AW143" s="6" t="s">
        <v>77</v>
      </c>
      <c r="AX143"/>
      <c r="AY143"/>
      <c r="AZ143"/>
      <c r="BB143"/>
      <c r="BC143"/>
      <c r="BD143"/>
    </row>
    <row r="144" spans="1:58" ht="16.2" thickTop="1" x14ac:dyDescent="0.3">
      <c r="A144" s="2"/>
      <c r="B144" s="2"/>
      <c r="C144" s="2"/>
      <c r="D144" s="2"/>
      <c r="E144" s="2"/>
      <c r="F144" s="2"/>
      <c r="G144" s="2"/>
      <c r="H144" s="2"/>
      <c r="J144" s="2"/>
      <c r="K144" s="2"/>
      <c r="L144" s="2"/>
      <c r="M144" s="2"/>
      <c r="N144" s="2"/>
      <c r="O144" s="2"/>
      <c r="P144" s="29"/>
      <c r="Q144" s="29"/>
      <c r="R144" s="29"/>
      <c r="S144" s="29"/>
      <c r="T144" s="29"/>
      <c r="U144" s="29"/>
      <c r="V144" s="29"/>
      <c r="W144" s="29"/>
      <c r="X144" s="29"/>
      <c r="Y144" s="29"/>
      <c r="Z144" s="29"/>
      <c r="AA144" s="29"/>
      <c r="AB144" s="29"/>
      <c r="AC144" s="29"/>
      <c r="AD144" s="29"/>
      <c r="AE144" s="29"/>
      <c r="AF144" s="29"/>
      <c r="AG144" s="29"/>
      <c r="AH144" s="29"/>
      <c r="AI144"/>
      <c r="AJ144" s="29"/>
      <c r="AK144" s="29"/>
      <c r="AL144" s="29"/>
      <c r="AM144"/>
      <c r="AN144"/>
      <c r="AO144" s="29"/>
      <c r="AP144"/>
      <c r="AQ144"/>
      <c r="AR144"/>
      <c r="AS144"/>
      <c r="AT144"/>
      <c r="AU144"/>
      <c r="AV144"/>
      <c r="AW144" s="51"/>
      <c r="AX144"/>
      <c r="AY144"/>
      <c r="AZ144"/>
      <c r="BB144"/>
      <c r="BC144"/>
      <c r="BD144"/>
    </row>
    <row r="145" spans="1:72" x14ac:dyDescent="0.3">
      <c r="AI145"/>
      <c r="AJ145"/>
      <c r="AK145"/>
      <c r="AL145"/>
      <c r="AM145"/>
      <c r="AN145"/>
      <c r="AO145"/>
      <c r="AP145"/>
      <c r="AQ145"/>
      <c r="AR145"/>
      <c r="AS145"/>
      <c r="AT145"/>
      <c r="AU145"/>
      <c r="AV145"/>
      <c r="AW145" s="79"/>
      <c r="AX145"/>
      <c r="AY145"/>
      <c r="AZ145"/>
      <c r="BA145"/>
      <c r="BB145"/>
      <c r="BC145"/>
      <c r="BD145"/>
    </row>
    <row r="146" spans="1:72" s="7" customFormat="1" ht="18" customHeight="1" x14ac:dyDescent="0.3">
      <c r="A146" s="6" t="s">
        <v>184</v>
      </c>
      <c r="C146" s="8">
        <v>2018</v>
      </c>
      <c r="D146" s="8">
        <v>2019</v>
      </c>
      <c r="E146" s="8">
        <v>2020</v>
      </c>
      <c r="F146" s="72">
        <v>2021</v>
      </c>
      <c r="G146" s="10">
        <v>2022</v>
      </c>
      <c r="H146" s="11">
        <v>2023</v>
      </c>
      <c r="I146" s="12">
        <v>2024</v>
      </c>
      <c r="J146" s="13">
        <v>2025</v>
      </c>
      <c r="K146" s="15" t="s">
        <v>99</v>
      </c>
      <c r="L146" s="15"/>
      <c r="M146" s="15"/>
      <c r="N146" s="6" t="s">
        <v>184</v>
      </c>
      <c r="P146" s="16" t="s">
        <v>125</v>
      </c>
      <c r="Q146" s="16" t="s">
        <v>126</v>
      </c>
      <c r="R146" s="16" t="s">
        <v>9</v>
      </c>
      <c r="S146" s="17" t="s">
        <v>100</v>
      </c>
      <c r="T146" s="16" t="s">
        <v>11</v>
      </c>
      <c r="U146" s="16" t="s">
        <v>12</v>
      </c>
      <c r="V146" s="16" t="s">
        <v>101</v>
      </c>
      <c r="W146" s="17" t="s">
        <v>102</v>
      </c>
      <c r="X146" s="16" t="s">
        <v>103</v>
      </c>
      <c r="Y146" s="16" t="s">
        <v>104</v>
      </c>
      <c r="Z146" s="16" t="s">
        <v>105</v>
      </c>
      <c r="AA146" s="17" t="s">
        <v>106</v>
      </c>
      <c r="AB146" s="16" t="s">
        <v>107</v>
      </c>
      <c r="AC146" s="16" t="s">
        <v>108</v>
      </c>
      <c r="AD146" s="16" t="s">
        <v>109</v>
      </c>
      <c r="AE146" s="17" t="s">
        <v>110</v>
      </c>
      <c r="AF146" s="16" t="s">
        <v>111</v>
      </c>
      <c r="AG146" s="16" t="s">
        <v>112</v>
      </c>
      <c r="AH146" s="16" t="s">
        <v>113</v>
      </c>
      <c r="AI146" s="17" t="s">
        <v>114</v>
      </c>
      <c r="AJ146" s="16" t="s">
        <v>115</v>
      </c>
      <c r="AK146" s="16" t="s">
        <v>116</v>
      </c>
      <c r="AL146" s="16" t="s">
        <v>117</v>
      </c>
      <c r="AM146" s="17" t="s">
        <v>30</v>
      </c>
      <c r="AN146" s="16" t="s">
        <v>31</v>
      </c>
      <c r="AO146" s="16" t="s">
        <v>32</v>
      </c>
      <c r="AP146" s="16" t="s">
        <v>118</v>
      </c>
      <c r="AQ146" s="17" t="s">
        <v>119</v>
      </c>
      <c r="AR146" s="16" t="s">
        <v>120</v>
      </c>
      <c r="AS146" s="16" t="s">
        <v>121</v>
      </c>
      <c r="AT146" s="16" t="s">
        <v>127</v>
      </c>
      <c r="AU146" s="17" t="s">
        <v>122</v>
      </c>
      <c r="BB146" s="8"/>
      <c r="BC146" s="20" t="s">
        <v>123</v>
      </c>
      <c r="BD146" s="20" t="s">
        <v>39</v>
      </c>
      <c r="BE146" s="20" t="s">
        <v>41</v>
      </c>
      <c r="BF146" s="20" t="s">
        <v>42</v>
      </c>
      <c r="BG146" s="21"/>
    </row>
    <row r="147" spans="1:72" s="7" customFormat="1" ht="18" customHeight="1" x14ac:dyDescent="0.3">
      <c r="A147" s="24" t="s">
        <v>43</v>
      </c>
      <c r="B147" s="7" t="s">
        <v>44</v>
      </c>
      <c r="C147" s="30">
        <v>5688</v>
      </c>
      <c r="D147" s="30">
        <v>5597</v>
      </c>
      <c r="E147" s="30">
        <v>5652</v>
      </c>
      <c r="F147" s="26">
        <v>6584</v>
      </c>
      <c r="G147" s="62">
        <v>6842</v>
      </c>
      <c r="H147" s="36">
        <v>7076</v>
      </c>
      <c r="I147" s="36">
        <v>7549</v>
      </c>
      <c r="J147" s="40">
        <v>8214</v>
      </c>
      <c r="K147" s="26"/>
      <c r="L147" s="26"/>
      <c r="M147" s="26"/>
      <c r="N147" s="24" t="s">
        <v>43</v>
      </c>
      <c r="O147" s="7" t="s">
        <v>44</v>
      </c>
      <c r="P147" s="73">
        <v>1371</v>
      </c>
      <c r="Q147" s="73">
        <v>1368</v>
      </c>
      <c r="R147" s="73">
        <v>1391</v>
      </c>
      <c r="S147" s="30">
        <f>C147-SUM(P147:R147)</f>
        <v>1558</v>
      </c>
      <c r="T147" s="30">
        <v>1254</v>
      </c>
      <c r="U147" s="30">
        <v>1310</v>
      </c>
      <c r="V147" s="30">
        <v>1339</v>
      </c>
      <c r="W147" s="30">
        <f>D147-SUM(T147:V147)</f>
        <v>1694</v>
      </c>
      <c r="X147" s="30">
        <v>1263</v>
      </c>
      <c r="Y147" s="30">
        <v>1198</v>
      </c>
      <c r="Z147" s="30">
        <v>1448</v>
      </c>
      <c r="AA147" s="30">
        <f>E147-SUM(X147:Z147)</f>
        <v>1743</v>
      </c>
      <c r="AB147" s="30">
        <v>1486</v>
      </c>
      <c r="AC147" s="30">
        <v>1602</v>
      </c>
      <c r="AD147" s="30">
        <v>1606</v>
      </c>
      <c r="AE147" s="30">
        <f>F147-SUM(AB147:AD147)</f>
        <v>1890</v>
      </c>
      <c r="AF147" s="30">
        <v>1547</v>
      </c>
      <c r="AG147" s="30">
        <v>1636</v>
      </c>
      <c r="AH147" s="30">
        <v>1640</v>
      </c>
      <c r="AI147" s="30">
        <f>G147-SUM(AF147:AH147)</f>
        <v>2019</v>
      </c>
      <c r="AJ147" s="30">
        <v>1645</v>
      </c>
      <c r="AK147" s="30">
        <v>1687</v>
      </c>
      <c r="AL147" s="30">
        <v>1708</v>
      </c>
      <c r="AM147" s="30">
        <f>H147-SUM(AJ147:AL147)</f>
        <v>2036</v>
      </c>
      <c r="AN147" s="30">
        <v>1598</v>
      </c>
      <c r="AO147" s="30">
        <v>1763</v>
      </c>
      <c r="AP147" s="30">
        <v>1826</v>
      </c>
      <c r="AQ147" s="30">
        <v>2362</v>
      </c>
      <c r="AR147" s="30">
        <v>1787</v>
      </c>
      <c r="AS147" s="30">
        <v>1933</v>
      </c>
      <c r="AT147" s="30">
        <v>1979</v>
      </c>
      <c r="AU147" s="30">
        <v>2515</v>
      </c>
      <c r="AW147" s="7" t="s">
        <v>44</v>
      </c>
      <c r="AX147" s="32" t="s">
        <v>43</v>
      </c>
      <c r="BB147" s="32" t="s">
        <v>185</v>
      </c>
      <c r="BC147" s="34">
        <f>SUM(AN147:AQ147)</f>
        <v>7549</v>
      </c>
      <c r="BD147" s="34">
        <f t="shared" ref="BD147" si="103">SUM(AR147:AU147)</f>
        <v>8214</v>
      </c>
      <c r="BE147" s="35">
        <f t="shared" ref="BE147" si="104">(BD147-BC147)/ABS(BC147)</f>
        <v>8.809113789905948E-2</v>
      </c>
      <c r="BF147" s="35">
        <f t="shared" ref="BF147" si="105">(AU147/AP147)^(1/5)-1</f>
        <v>6.6123320447879719E-2</v>
      </c>
      <c r="BG147" s="21"/>
    </row>
    <row r="148" spans="1:72" s="7" customFormat="1" ht="18" customHeight="1" x14ac:dyDescent="0.3">
      <c r="A148" s="24" t="s">
        <v>43</v>
      </c>
      <c r="B148" s="7" t="s">
        <v>46</v>
      </c>
      <c r="C148" s="29">
        <f>C147-1634-1208-188</f>
        <v>2658</v>
      </c>
      <c r="D148" s="29">
        <f>D147-1235-1368-180</f>
        <v>2814</v>
      </c>
      <c r="E148" s="29">
        <v>2687</v>
      </c>
      <c r="F148" s="26">
        <v>3165</v>
      </c>
      <c r="G148" s="62">
        <v>3313</v>
      </c>
      <c r="H148" s="62">
        <v>3497</v>
      </c>
      <c r="I148" s="36">
        <v>3584</v>
      </c>
      <c r="J148" s="40">
        <v>3792</v>
      </c>
      <c r="K148" s="26"/>
      <c r="L148" s="26"/>
      <c r="M148" s="26"/>
      <c r="N148" s="24" t="s">
        <v>43</v>
      </c>
      <c r="O148" s="7" t="s">
        <v>46</v>
      </c>
      <c r="P148" s="30">
        <f>P147-438-272-47</f>
        <v>614</v>
      </c>
      <c r="Q148" s="30">
        <f>Q147-421-274-40</f>
        <v>633</v>
      </c>
      <c r="R148" s="30">
        <f>R147-399-288-40</f>
        <v>664</v>
      </c>
      <c r="S148" s="30">
        <f t="shared" ref="S148:S150" si="106">C148-SUM(P148:R148)</f>
        <v>747</v>
      </c>
      <c r="T148" s="36">
        <f>T147-272-301-43</f>
        <v>638</v>
      </c>
      <c r="U148" s="36">
        <f>U147-286-315-38</f>
        <v>671</v>
      </c>
      <c r="V148" s="36">
        <f>V147-292-325-43</f>
        <v>679</v>
      </c>
      <c r="W148" s="30">
        <f t="shared" ref="W148:W150" si="107">D148-SUM(T148:V148)</f>
        <v>826</v>
      </c>
      <c r="X148" s="36">
        <f>X147-298-310-58</f>
        <v>597</v>
      </c>
      <c r="Y148" s="36">
        <f>Y147-349-264-36</f>
        <v>549</v>
      </c>
      <c r="Z148" s="36">
        <f>Z147-399-313-13</f>
        <v>723</v>
      </c>
      <c r="AA148" s="30">
        <f t="shared" ref="AA148:AA150" si="108">E148-SUM(X148:Z148)</f>
        <v>818</v>
      </c>
      <c r="AB148" s="36">
        <f>AB147-392-343-23</f>
        <v>728</v>
      </c>
      <c r="AC148" s="36">
        <f>AC147-417-372-27</f>
        <v>786</v>
      </c>
      <c r="AD148" s="36">
        <f>AD147-421-375-31</f>
        <v>779</v>
      </c>
      <c r="AE148" s="30">
        <f t="shared" ref="AE148:AE150" si="109">F148-SUM(AB148:AD148)</f>
        <v>872</v>
      </c>
      <c r="AF148" s="36">
        <f>AF147-402-361-32</f>
        <v>752</v>
      </c>
      <c r="AG148" s="36">
        <f>AG147-415-396-29</f>
        <v>796</v>
      </c>
      <c r="AH148" s="36">
        <f>AH147-402-396-28</f>
        <v>814</v>
      </c>
      <c r="AI148" s="30">
        <f t="shared" ref="AI148:AI150" si="110">G148-SUM(AF148:AH148)</f>
        <v>951</v>
      </c>
      <c r="AJ148" s="36">
        <f>AJ147-395-403-36</f>
        <v>811</v>
      </c>
      <c r="AK148" s="36">
        <f>AK147-415-388-32</f>
        <v>852</v>
      </c>
      <c r="AL148" s="36">
        <f>AL147-421-400-27</f>
        <v>860</v>
      </c>
      <c r="AM148" s="30">
        <f t="shared" ref="AM148:AM150" si="111">H148-SUM(AJ148:AL148)</f>
        <v>974</v>
      </c>
      <c r="AN148" s="36">
        <v>800</v>
      </c>
      <c r="AO148" s="36">
        <v>869</v>
      </c>
      <c r="AP148" s="36">
        <v>866</v>
      </c>
      <c r="AQ148" s="36">
        <v>1049</v>
      </c>
      <c r="AR148" s="36">
        <v>837</v>
      </c>
      <c r="AS148" s="36">
        <v>906</v>
      </c>
      <c r="AT148" s="36">
        <v>930</v>
      </c>
      <c r="AU148" s="36">
        <v>1119</v>
      </c>
      <c r="AW148" s="7" t="s">
        <v>46</v>
      </c>
      <c r="AX148" s="32" t="s">
        <v>43</v>
      </c>
      <c r="BC148" s="77"/>
      <c r="BG148" s="21"/>
    </row>
    <row r="149" spans="1:72" s="7" customFormat="1" ht="18" customHeight="1" x14ac:dyDescent="0.3">
      <c r="A149" s="24" t="s">
        <v>43</v>
      </c>
      <c r="B149" s="7" t="s">
        <v>47</v>
      </c>
      <c r="C149" s="30">
        <v>2296</v>
      </c>
      <c r="D149" s="30">
        <v>1930</v>
      </c>
      <c r="E149" s="30">
        <v>1697</v>
      </c>
      <c r="F149" s="26">
        <v>2164</v>
      </c>
      <c r="G149" s="62">
        <v>2136</v>
      </c>
      <c r="H149" s="36">
        <v>2368</v>
      </c>
      <c r="I149" s="27">
        <v>2539</v>
      </c>
      <c r="J149" s="40">
        <v>2709</v>
      </c>
      <c r="K149" s="26"/>
      <c r="L149" s="26"/>
      <c r="M149" s="26"/>
      <c r="N149" s="24" t="s">
        <v>43</v>
      </c>
      <c r="O149" s="7" t="s">
        <v>47</v>
      </c>
      <c r="P149" s="30">
        <v>553</v>
      </c>
      <c r="Q149" s="30">
        <v>449</v>
      </c>
      <c r="R149" s="30">
        <v>553</v>
      </c>
      <c r="S149" s="30">
        <f t="shared" si="106"/>
        <v>741</v>
      </c>
      <c r="T149" s="30">
        <v>433</v>
      </c>
      <c r="U149" s="30">
        <v>471</v>
      </c>
      <c r="V149" s="30">
        <v>480</v>
      </c>
      <c r="W149" s="30">
        <f t="shared" si="107"/>
        <v>546</v>
      </c>
      <c r="X149" s="30">
        <v>250</v>
      </c>
      <c r="Y149" s="30">
        <v>300</v>
      </c>
      <c r="Z149" s="30">
        <v>471</v>
      </c>
      <c r="AA149" s="30">
        <f t="shared" si="108"/>
        <v>676</v>
      </c>
      <c r="AB149" s="30">
        <v>543</v>
      </c>
      <c r="AC149" s="30">
        <v>567</v>
      </c>
      <c r="AD149" s="30">
        <v>527</v>
      </c>
      <c r="AE149" s="30">
        <f t="shared" si="109"/>
        <v>527</v>
      </c>
      <c r="AF149" s="30">
        <v>509</v>
      </c>
      <c r="AG149" s="30">
        <v>554</v>
      </c>
      <c r="AH149" s="30">
        <v>546</v>
      </c>
      <c r="AI149" s="30">
        <f t="shared" si="110"/>
        <v>527</v>
      </c>
      <c r="AJ149" s="30">
        <v>523</v>
      </c>
      <c r="AK149" s="30">
        <v>573</v>
      </c>
      <c r="AL149" s="30">
        <v>613</v>
      </c>
      <c r="AM149" s="30">
        <f t="shared" si="111"/>
        <v>659</v>
      </c>
      <c r="AN149" s="30">
        <v>551</v>
      </c>
      <c r="AO149" s="30">
        <v>634</v>
      </c>
      <c r="AP149" s="30">
        <v>631</v>
      </c>
      <c r="AQ149" s="30">
        <v>723</v>
      </c>
      <c r="AR149" s="30">
        <v>574</v>
      </c>
      <c r="AS149" s="30">
        <v>651</v>
      </c>
      <c r="AT149" s="30">
        <v>681</v>
      </c>
      <c r="AU149" s="30">
        <v>803</v>
      </c>
      <c r="AW149" s="7" t="s">
        <v>47</v>
      </c>
      <c r="AX149" s="32" t="s">
        <v>43</v>
      </c>
      <c r="BC149" s="77"/>
      <c r="BG149" s="21"/>
    </row>
    <row r="150" spans="1:72" s="7" customFormat="1" ht="18" customHeight="1" x14ac:dyDescent="0.3">
      <c r="A150" s="24" t="s">
        <v>43</v>
      </c>
      <c r="B150" s="7" t="s">
        <v>48</v>
      </c>
      <c r="C150" s="30">
        <v>1542</v>
      </c>
      <c r="D150" s="30">
        <v>1294</v>
      </c>
      <c r="E150" s="30">
        <v>904</v>
      </c>
      <c r="F150" s="26">
        <v>1575</v>
      </c>
      <c r="G150" s="62">
        <v>1325</v>
      </c>
      <c r="H150" s="36">
        <v>1597</v>
      </c>
      <c r="I150" s="27">
        <v>1486</v>
      </c>
      <c r="J150" s="40">
        <v>1559</v>
      </c>
      <c r="K150" s="26"/>
      <c r="L150" s="26"/>
      <c r="M150" s="26"/>
      <c r="N150" s="24" t="s">
        <v>43</v>
      </c>
      <c r="O150" s="7" t="s">
        <v>48</v>
      </c>
      <c r="P150" s="30">
        <v>433</v>
      </c>
      <c r="Q150" s="30">
        <v>321</v>
      </c>
      <c r="R150" s="30">
        <v>454</v>
      </c>
      <c r="S150" s="30">
        <f t="shared" si="106"/>
        <v>334</v>
      </c>
      <c r="T150" s="30">
        <v>262</v>
      </c>
      <c r="U150" s="30">
        <v>289</v>
      </c>
      <c r="V150" s="30">
        <v>255</v>
      </c>
      <c r="W150" s="30">
        <f t="shared" si="107"/>
        <v>488</v>
      </c>
      <c r="X150" s="30">
        <v>83</v>
      </c>
      <c r="Y150" s="30">
        <v>206</v>
      </c>
      <c r="Z150" s="30">
        <v>283</v>
      </c>
      <c r="AA150" s="30">
        <f t="shared" si="108"/>
        <v>332</v>
      </c>
      <c r="AB150" s="30">
        <v>326</v>
      </c>
      <c r="AC150" s="30">
        <v>391</v>
      </c>
      <c r="AD150" s="30">
        <v>528</v>
      </c>
      <c r="AE150" s="30">
        <f t="shared" si="109"/>
        <v>330</v>
      </c>
      <c r="AF150" s="30">
        <v>398</v>
      </c>
      <c r="AG150" s="30">
        <v>224</v>
      </c>
      <c r="AH150" s="30">
        <v>331</v>
      </c>
      <c r="AI150" s="30">
        <f t="shared" si="110"/>
        <v>372</v>
      </c>
      <c r="AJ150" s="30">
        <v>300</v>
      </c>
      <c r="AK150" s="30">
        <v>418</v>
      </c>
      <c r="AL150" s="30">
        <v>416</v>
      </c>
      <c r="AM150" s="30">
        <f t="shared" si="111"/>
        <v>463</v>
      </c>
      <c r="AN150" s="30">
        <v>314</v>
      </c>
      <c r="AO150" s="30">
        <v>367</v>
      </c>
      <c r="AP150" s="30">
        <v>382</v>
      </c>
      <c r="AQ150" s="30">
        <v>423</v>
      </c>
      <c r="AR150" s="30">
        <v>253</v>
      </c>
      <c r="AS150" s="30">
        <v>374</v>
      </c>
      <c r="AT150" s="30">
        <v>397</v>
      </c>
      <c r="AU150" s="30">
        <v>535</v>
      </c>
      <c r="AW150" s="7" t="s">
        <v>48</v>
      </c>
      <c r="AX150" s="32" t="s">
        <v>43</v>
      </c>
      <c r="BC150" s="77"/>
      <c r="BG150" s="21"/>
    </row>
    <row r="151" spans="1:72" s="7" customFormat="1" ht="18" customHeight="1" x14ac:dyDescent="0.3">
      <c r="A151" s="24" t="s">
        <v>43</v>
      </c>
      <c r="B151" s="39" t="s">
        <v>49</v>
      </c>
      <c r="C151" s="50">
        <v>1176</v>
      </c>
      <c r="D151" s="50">
        <v>1315</v>
      </c>
      <c r="E151" s="50">
        <v>1305</v>
      </c>
      <c r="F151" s="26">
        <v>1706</v>
      </c>
      <c r="G151" s="26">
        <v>1427</v>
      </c>
      <c r="H151" s="40">
        <v>1603</v>
      </c>
      <c r="I151" s="34">
        <v>1689</v>
      </c>
      <c r="J151" s="40">
        <v>2010</v>
      </c>
      <c r="K151" s="40"/>
      <c r="L151" s="40"/>
      <c r="M151" s="40"/>
      <c r="N151" s="24" t="s">
        <v>50</v>
      </c>
      <c r="O151" s="7" t="s">
        <v>51</v>
      </c>
      <c r="P151" s="35">
        <f t="shared" ref="P151:R151" si="112">P150/P147</f>
        <v>0.31582786287381476</v>
      </c>
      <c r="Q151" s="35">
        <f t="shared" si="112"/>
        <v>0.23464912280701755</v>
      </c>
      <c r="R151" s="35">
        <f t="shared" si="112"/>
        <v>0.32638389647735444</v>
      </c>
      <c r="S151" s="35">
        <f>S150/S147</f>
        <v>0.21437740693196405</v>
      </c>
      <c r="T151" s="35">
        <f>T150/T147</f>
        <v>0.20893141945773525</v>
      </c>
      <c r="U151" s="35">
        <f>U150/U147</f>
        <v>0.22061068702290076</v>
      </c>
      <c r="V151" s="35">
        <f>V150/V147</f>
        <v>0.19044062733383121</v>
      </c>
      <c r="W151" s="35">
        <f>W150/W147</f>
        <v>0.28807556080283353</v>
      </c>
      <c r="X151" s="35">
        <f t="shared" ref="X151:AU151" si="113">X150/X147</f>
        <v>6.5716547901821062E-2</v>
      </c>
      <c r="Y151" s="35">
        <f t="shared" si="113"/>
        <v>0.17195325542570952</v>
      </c>
      <c r="Z151" s="35">
        <f t="shared" si="113"/>
        <v>0.19544198895027623</v>
      </c>
      <c r="AA151" s="35">
        <f t="shared" si="113"/>
        <v>0.19047619047619047</v>
      </c>
      <c r="AB151" s="35">
        <f t="shared" si="113"/>
        <v>0.21938088829071331</v>
      </c>
      <c r="AC151" s="35">
        <f t="shared" si="113"/>
        <v>0.24406991260923847</v>
      </c>
      <c r="AD151" s="35">
        <f t="shared" si="113"/>
        <v>0.32876712328767121</v>
      </c>
      <c r="AE151" s="35">
        <f t="shared" si="113"/>
        <v>0.17460317460317459</v>
      </c>
      <c r="AF151" s="35">
        <f t="shared" si="113"/>
        <v>0.25727213962508078</v>
      </c>
      <c r="AG151" s="35">
        <f t="shared" si="113"/>
        <v>0.13691931540342298</v>
      </c>
      <c r="AH151" s="35">
        <f t="shared" si="113"/>
        <v>0.20182926829268294</v>
      </c>
      <c r="AI151" s="35">
        <f t="shared" si="113"/>
        <v>0.18424962852897475</v>
      </c>
      <c r="AJ151" s="35">
        <f t="shared" si="113"/>
        <v>0.18237082066869301</v>
      </c>
      <c r="AK151" s="35">
        <f t="shared" si="113"/>
        <v>0.24777711914641376</v>
      </c>
      <c r="AL151" s="35">
        <f t="shared" si="113"/>
        <v>0.24355971896955503</v>
      </c>
      <c r="AM151" s="35">
        <f t="shared" si="113"/>
        <v>0.22740667976424361</v>
      </c>
      <c r="AN151" s="35">
        <f t="shared" si="113"/>
        <v>0.1964956195244055</v>
      </c>
      <c r="AO151" s="35">
        <f t="shared" si="113"/>
        <v>0.2081678956324447</v>
      </c>
      <c r="AP151" s="35">
        <f t="shared" si="113"/>
        <v>0.20920043811610076</v>
      </c>
      <c r="AQ151" s="35">
        <f t="shared" si="113"/>
        <v>0.17908552074513123</v>
      </c>
      <c r="AR151" s="35">
        <f t="shared" si="113"/>
        <v>0.14157806379406826</v>
      </c>
      <c r="AS151" s="35">
        <f t="shared" si="113"/>
        <v>0.19348163476461458</v>
      </c>
      <c r="AT151" s="35">
        <f t="shared" si="113"/>
        <v>0.20060636685194544</v>
      </c>
      <c r="AU151" s="35">
        <f t="shared" si="113"/>
        <v>0.21272365805168986</v>
      </c>
      <c r="AW151" s="7" t="s">
        <v>51</v>
      </c>
      <c r="AX151" s="32" t="s">
        <v>50</v>
      </c>
      <c r="BC151" s="77"/>
      <c r="BG151" s="21"/>
    </row>
    <row r="152" spans="1:72" s="7" customFormat="1" ht="18" customHeight="1" x14ac:dyDescent="0.3">
      <c r="A152" s="24" t="s">
        <v>43</v>
      </c>
      <c r="B152" s="39" t="s">
        <v>52</v>
      </c>
      <c r="C152" s="50">
        <v>942</v>
      </c>
      <c r="D152" s="50">
        <v>1119</v>
      </c>
      <c r="E152" s="50">
        <v>1145</v>
      </c>
      <c r="F152" s="26">
        <v>1476</v>
      </c>
      <c r="G152" s="26">
        <v>1148</v>
      </c>
      <c r="H152" s="40">
        <v>1318</v>
      </c>
      <c r="I152" s="34">
        <v>1432</v>
      </c>
      <c r="J152" s="40">
        <v>1639</v>
      </c>
      <c r="K152" s="40"/>
      <c r="L152" s="40"/>
      <c r="M152" s="40"/>
      <c r="N152" s="24" t="s">
        <v>50</v>
      </c>
      <c r="O152" s="7" t="s">
        <v>53</v>
      </c>
      <c r="P152" s="35">
        <f t="shared" ref="P152:R152" si="114">P148/P147</f>
        <v>0.44784828592268416</v>
      </c>
      <c r="Q152" s="35">
        <f t="shared" si="114"/>
        <v>0.46271929824561403</v>
      </c>
      <c r="R152" s="35">
        <f t="shared" si="114"/>
        <v>0.47735442127965494</v>
      </c>
      <c r="S152" s="35">
        <f>S148/S147</f>
        <v>0.47946084724005134</v>
      </c>
      <c r="T152" s="35">
        <f>T148/T147</f>
        <v>0.50877192982456143</v>
      </c>
      <c r="U152" s="35">
        <f>U148/U147</f>
        <v>0.51221374045801527</v>
      </c>
      <c r="V152" s="35">
        <f>V148/V147</f>
        <v>0.50709484690067219</v>
      </c>
      <c r="W152" s="35">
        <f>W148/W147</f>
        <v>0.48760330578512395</v>
      </c>
      <c r="X152" s="35">
        <f t="shared" ref="X152:AU152" si="115">X148/X147</f>
        <v>0.47268408551068886</v>
      </c>
      <c r="Y152" s="35">
        <f t="shared" si="115"/>
        <v>0.45826377295492488</v>
      </c>
      <c r="Z152" s="35">
        <f t="shared" si="115"/>
        <v>0.49930939226519339</v>
      </c>
      <c r="AA152" s="35">
        <f t="shared" si="115"/>
        <v>0.46930579460699945</v>
      </c>
      <c r="AB152" s="35">
        <f t="shared" si="115"/>
        <v>0.48990578734858681</v>
      </c>
      <c r="AC152" s="35">
        <f t="shared" si="115"/>
        <v>0.49063670411985016</v>
      </c>
      <c r="AD152" s="35">
        <f t="shared" si="115"/>
        <v>0.48505603985056039</v>
      </c>
      <c r="AE152" s="35">
        <f t="shared" si="115"/>
        <v>0.46137566137566138</v>
      </c>
      <c r="AF152" s="35">
        <f t="shared" si="115"/>
        <v>0.48610213316095668</v>
      </c>
      <c r="AG152" s="35">
        <f t="shared" si="115"/>
        <v>0.48655256723716384</v>
      </c>
      <c r="AH152" s="35">
        <f t="shared" si="115"/>
        <v>0.49634146341463414</v>
      </c>
      <c r="AI152" s="35">
        <f t="shared" si="115"/>
        <v>0.47102526002971767</v>
      </c>
      <c r="AJ152" s="35">
        <f t="shared" si="115"/>
        <v>0.49300911854103341</v>
      </c>
      <c r="AK152" s="35">
        <f t="shared" si="115"/>
        <v>0.50503852993479548</v>
      </c>
      <c r="AL152" s="35">
        <f t="shared" si="115"/>
        <v>0.50351288056206089</v>
      </c>
      <c r="AM152" s="35">
        <f t="shared" si="115"/>
        <v>0.47838899803536344</v>
      </c>
      <c r="AN152" s="35">
        <f t="shared" si="115"/>
        <v>0.50062578222778475</v>
      </c>
      <c r="AO152" s="35">
        <f t="shared" si="115"/>
        <v>0.49290981281905843</v>
      </c>
      <c r="AP152" s="35">
        <f t="shared" si="115"/>
        <v>0.47426067907995617</v>
      </c>
      <c r="AQ152" s="35">
        <f t="shared" si="115"/>
        <v>0.44411515664690943</v>
      </c>
      <c r="AR152" s="35">
        <f t="shared" si="115"/>
        <v>0.46838276440962506</v>
      </c>
      <c r="AS152" s="35">
        <f t="shared" si="115"/>
        <v>0.4687015002586653</v>
      </c>
      <c r="AT152" s="35">
        <f t="shared" si="115"/>
        <v>0.46993431025770593</v>
      </c>
      <c r="AU152" s="35">
        <f t="shared" si="115"/>
        <v>0.44493041749502982</v>
      </c>
      <c r="AW152" s="7" t="s">
        <v>53</v>
      </c>
      <c r="AX152" s="32" t="s">
        <v>50</v>
      </c>
      <c r="BC152" s="77"/>
      <c r="BG152" s="21"/>
    </row>
    <row r="153" spans="1:72" s="7" customFormat="1" ht="18" customHeight="1" x14ac:dyDescent="0.3">
      <c r="A153" s="24" t="s">
        <v>50</v>
      </c>
      <c r="B153" s="7" t="s">
        <v>54</v>
      </c>
      <c r="C153" s="49">
        <v>-3.2323919700578427</v>
      </c>
      <c r="D153" s="49">
        <v>-1.59985935302391</v>
      </c>
      <c r="E153" s="49">
        <v>0.98266928711809898</v>
      </c>
      <c r="F153" s="49">
        <v>16.489738145789101</v>
      </c>
      <c r="G153" s="49">
        <v>3.9185905224787363</v>
      </c>
      <c r="H153" s="49">
        <v>3.4200526161940954</v>
      </c>
      <c r="I153" s="49">
        <v>6.6845675522894288</v>
      </c>
      <c r="J153" s="45">
        <v>8.8091137899059486</v>
      </c>
      <c r="K153" s="44"/>
      <c r="L153" s="44"/>
      <c r="M153" s="44"/>
      <c r="N153" s="49"/>
      <c r="O153" s="24"/>
      <c r="P153" s="35"/>
      <c r="Q153" s="35"/>
      <c r="R153" s="35"/>
      <c r="S153" s="35"/>
      <c r="T153" s="35"/>
      <c r="BC153" s="83"/>
      <c r="BG153" s="21"/>
    </row>
    <row r="154" spans="1:72" s="7" customFormat="1" ht="18" customHeight="1" x14ac:dyDescent="0.3">
      <c r="A154" s="24" t="s">
        <v>50</v>
      </c>
      <c r="B154" s="7" t="s">
        <v>55</v>
      </c>
      <c r="C154" s="49">
        <v>-16.841724013038753</v>
      </c>
      <c r="D154" s="49">
        <v>-15.940766550522648</v>
      </c>
      <c r="E154" s="49">
        <v>-12.072538860103627</v>
      </c>
      <c r="F154" s="49">
        <v>27.519151443724223</v>
      </c>
      <c r="G154" s="49">
        <v>-1.2939001848428837</v>
      </c>
      <c r="H154" s="49">
        <v>10.861423220973784</v>
      </c>
      <c r="I154" s="49">
        <v>7.2212837837837842</v>
      </c>
      <c r="J154" s="45">
        <v>6.6955494289090183</v>
      </c>
      <c r="K154" s="44"/>
      <c r="L154" s="44"/>
      <c r="M154" s="44"/>
      <c r="N154" s="49"/>
      <c r="O154" s="24"/>
      <c r="P154" s="35"/>
      <c r="Q154" s="35"/>
      <c r="R154" s="35"/>
      <c r="S154" s="35"/>
      <c r="T154" s="35"/>
      <c r="AG154" s="36"/>
      <c r="BC154" s="83"/>
      <c r="BG154" s="21"/>
    </row>
    <row r="155" spans="1:72" s="7" customFormat="1" ht="18" customHeight="1" x14ac:dyDescent="0.3">
      <c r="A155" s="24" t="s">
        <v>50</v>
      </c>
      <c r="B155" s="7" t="s">
        <v>56</v>
      </c>
      <c r="C155" s="49">
        <v>15.074626865671641</v>
      </c>
      <c r="D155" s="49">
        <v>-16.083009079118028</v>
      </c>
      <c r="E155" s="49">
        <v>-30.139103554868623</v>
      </c>
      <c r="F155" s="49">
        <v>74.225663716814154</v>
      </c>
      <c r="G155" s="49">
        <v>-15.873015873015872</v>
      </c>
      <c r="H155" s="49">
        <v>20.528301886792452</v>
      </c>
      <c r="I155" s="49">
        <v>-6.9505322479649339</v>
      </c>
      <c r="J155" s="45">
        <v>4.9125168236877519</v>
      </c>
      <c r="K155" s="44"/>
      <c r="L155" s="44"/>
      <c r="M155" s="44"/>
      <c r="N155" s="49"/>
      <c r="O155" s="24"/>
      <c r="P155" s="35"/>
      <c r="Q155" s="35"/>
      <c r="R155" s="35"/>
      <c r="S155" s="35"/>
      <c r="T155" s="35"/>
      <c r="BC155" s="83"/>
      <c r="BG155" s="21"/>
    </row>
    <row r="156" spans="1:72" s="7" customFormat="1" ht="18" customHeight="1" x14ac:dyDescent="0.3">
      <c r="A156" s="24" t="s">
        <v>57</v>
      </c>
      <c r="B156" s="7" t="s">
        <v>58</v>
      </c>
      <c r="C156" s="49">
        <v>27.109704641350213</v>
      </c>
      <c r="D156" s="49">
        <v>23.119528318742184</v>
      </c>
      <c r="E156" s="49">
        <v>15.994338287331919</v>
      </c>
      <c r="F156" s="49">
        <v>23.921628189550425</v>
      </c>
      <c r="G156" s="49">
        <v>19.365682548962294</v>
      </c>
      <c r="H156" s="49">
        <v>22.569248162803841</v>
      </c>
      <c r="I156" s="49">
        <v>19.684726453834944</v>
      </c>
      <c r="J156" s="45">
        <v>18.979790601412223</v>
      </c>
      <c r="K156" s="44"/>
      <c r="L156" s="44"/>
      <c r="M156" s="44"/>
      <c r="N156" s="49"/>
      <c r="T156" s="36"/>
      <c r="BC156" s="83"/>
      <c r="BG156" s="21"/>
    </row>
    <row r="157" spans="1:72" s="7" customFormat="1" ht="18" customHeight="1" x14ac:dyDescent="0.3">
      <c r="A157" s="24" t="s">
        <v>57</v>
      </c>
      <c r="B157" s="7" t="s">
        <v>59</v>
      </c>
      <c r="C157" s="49">
        <v>46.729957805907176</v>
      </c>
      <c r="D157" s="49">
        <v>50.276934071824186</v>
      </c>
      <c r="E157" s="49">
        <v>47.540693559801838</v>
      </c>
      <c r="F157" s="49">
        <v>48.071081409477522</v>
      </c>
      <c r="G157" s="49">
        <v>48.421514177141191</v>
      </c>
      <c r="H157" s="49">
        <v>49.420576596947427</v>
      </c>
      <c r="I157" s="49">
        <v>47.476486951914161</v>
      </c>
      <c r="J157" s="45">
        <v>46.165084002921844</v>
      </c>
      <c r="K157" s="44"/>
      <c r="L157" s="44"/>
      <c r="M157" s="44"/>
      <c r="N157" s="49"/>
      <c r="BC157" s="83"/>
      <c r="BG157" s="21"/>
    </row>
    <row r="158" spans="1:72" s="2" customFormat="1" ht="18" customHeight="1" x14ac:dyDescent="0.3">
      <c r="A158" s="24"/>
      <c r="B158" s="7" t="s">
        <v>67</v>
      </c>
      <c r="C158" s="50">
        <v>34000</v>
      </c>
      <c r="D158" s="30">
        <v>34000</v>
      </c>
      <c r="E158" s="29">
        <v>15000</v>
      </c>
      <c r="F158" s="26">
        <v>36000</v>
      </c>
      <c r="G158" s="26">
        <v>36000</v>
      </c>
      <c r="H158" s="26">
        <v>35000</v>
      </c>
      <c r="I158" s="26">
        <v>40000</v>
      </c>
      <c r="J158" s="26">
        <v>40000</v>
      </c>
      <c r="K158" s="7"/>
      <c r="L158" s="7"/>
      <c r="M158" s="7"/>
      <c r="N158" s="7"/>
      <c r="O158" s="24"/>
      <c r="P158" s="23"/>
      <c r="Q158" s="23"/>
      <c r="R158" s="23"/>
      <c r="S158" s="23"/>
      <c r="T158" s="23"/>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83"/>
      <c r="BD158" s="7"/>
      <c r="BE158" s="7"/>
      <c r="BF158" s="7"/>
      <c r="BG158" s="7"/>
      <c r="BH158" s="7"/>
      <c r="BI158" s="7"/>
      <c r="BJ158" s="7"/>
      <c r="BK158" s="7"/>
      <c r="BL158" s="7"/>
      <c r="BM158" s="39"/>
      <c r="BN158" s="39"/>
      <c r="BO158" s="39"/>
      <c r="BP158" s="39"/>
      <c r="BQ158" s="39"/>
      <c r="BR158" s="39"/>
      <c r="BS158" s="39"/>
      <c r="BT158" s="39"/>
    </row>
    <row r="159" spans="1:72" x14ac:dyDescent="0.3">
      <c r="AI159"/>
      <c r="AJ159"/>
      <c r="AK159"/>
      <c r="AL159"/>
      <c r="AM159"/>
      <c r="AN159"/>
      <c r="AO159"/>
      <c r="AP159"/>
      <c r="AQ159"/>
      <c r="AR159"/>
      <c r="AS159"/>
      <c r="AT159"/>
      <c r="AU159" s="7"/>
      <c r="AV159"/>
      <c r="AW159" s="79"/>
      <c r="AX159"/>
      <c r="AY159"/>
      <c r="AZ159"/>
      <c r="BA159"/>
      <c r="BB159"/>
      <c r="BC159"/>
      <c r="BD159"/>
    </row>
    <row r="160" spans="1:72" ht="18" customHeight="1" x14ac:dyDescent="0.3">
      <c r="A160" s="16" t="s">
        <v>68</v>
      </c>
      <c r="B160" s="8" t="s">
        <v>87</v>
      </c>
      <c r="C160" s="8">
        <v>2018</v>
      </c>
      <c r="D160" s="8">
        <v>2019</v>
      </c>
      <c r="E160" s="8">
        <v>2020</v>
      </c>
      <c r="F160" s="9">
        <v>2021</v>
      </c>
      <c r="G160" s="10">
        <v>2022</v>
      </c>
      <c r="H160" s="11">
        <v>2023</v>
      </c>
      <c r="I160" s="12">
        <v>2024</v>
      </c>
      <c r="J160" s="13">
        <v>2025</v>
      </c>
      <c r="N160" s="16" t="s">
        <v>68</v>
      </c>
      <c r="O160" s="8" t="s">
        <v>87</v>
      </c>
      <c r="P160" s="16" t="s">
        <v>125</v>
      </c>
      <c r="Q160" s="16" t="s">
        <v>126</v>
      </c>
      <c r="R160" s="16" t="s">
        <v>9</v>
      </c>
      <c r="S160" s="17" t="s">
        <v>100</v>
      </c>
      <c r="T160" s="16" t="s">
        <v>11</v>
      </c>
      <c r="U160" s="16" t="s">
        <v>12</v>
      </c>
      <c r="V160" s="16" t="s">
        <v>101</v>
      </c>
      <c r="W160" s="17" t="s">
        <v>102</v>
      </c>
      <c r="X160" s="16" t="s">
        <v>103</v>
      </c>
      <c r="Y160" s="16" t="s">
        <v>104</v>
      </c>
      <c r="Z160" s="16" t="s">
        <v>105</v>
      </c>
      <c r="AA160" s="17" t="s">
        <v>106</v>
      </c>
      <c r="AB160" s="16" t="s">
        <v>107</v>
      </c>
      <c r="AC160" s="16" t="s">
        <v>108</v>
      </c>
      <c r="AD160" s="16" t="s">
        <v>109</v>
      </c>
      <c r="AE160" s="17" t="s">
        <v>110</v>
      </c>
      <c r="AF160" s="16" t="s">
        <v>111</v>
      </c>
      <c r="AG160" s="16" t="s">
        <v>112</v>
      </c>
      <c r="AH160" s="16" t="s">
        <v>113</v>
      </c>
      <c r="AI160" s="17" t="s">
        <v>114</v>
      </c>
      <c r="AJ160" s="16" t="s">
        <v>115</v>
      </c>
      <c r="AK160" s="16" t="s">
        <v>116</v>
      </c>
      <c r="AL160" s="16" t="s">
        <v>117</v>
      </c>
      <c r="AM160" s="17" t="s">
        <v>30</v>
      </c>
      <c r="AN160" s="16" t="s">
        <v>31</v>
      </c>
      <c r="AO160" s="16" t="s">
        <v>32</v>
      </c>
      <c r="AP160" s="16" t="s">
        <v>118</v>
      </c>
      <c r="AQ160" s="17" t="s">
        <v>119</v>
      </c>
      <c r="AR160" s="16" t="s">
        <v>120</v>
      </c>
      <c r="AS160" s="16" t="s">
        <v>121</v>
      </c>
      <c r="AT160" s="16" t="s">
        <v>127</v>
      </c>
      <c r="AU160" s="17" t="s">
        <v>122</v>
      </c>
      <c r="AV160"/>
      <c r="AW160" s="8" t="s">
        <v>87</v>
      </c>
      <c r="AX160"/>
      <c r="AY160" s="77"/>
      <c r="AZ160"/>
      <c r="BA160" s="77"/>
      <c r="BB160" s="8" t="s">
        <v>87</v>
      </c>
      <c r="BC160" s="20" t="s">
        <v>123</v>
      </c>
      <c r="BD160" s="20" t="s">
        <v>39</v>
      </c>
      <c r="BE160" s="20" t="s">
        <v>41</v>
      </c>
      <c r="BF160" s="20" t="s">
        <v>42</v>
      </c>
    </row>
    <row r="161" spans="1:58" ht="18" customHeight="1" x14ac:dyDescent="0.3">
      <c r="A161" s="24" t="s">
        <v>43</v>
      </c>
      <c r="B161" s="7" t="s">
        <v>186</v>
      </c>
      <c r="C161" s="34">
        <v>2644</v>
      </c>
      <c r="D161" s="34">
        <v>2491</v>
      </c>
      <c r="E161" s="34">
        <v>2272</v>
      </c>
      <c r="F161" s="34">
        <v>2793</v>
      </c>
      <c r="G161" s="34">
        <v>2834</v>
      </c>
      <c r="H161" s="34">
        <v>2830</v>
      </c>
      <c r="I161" s="34">
        <v>3099</v>
      </c>
      <c r="J161" s="34">
        <v>3542</v>
      </c>
      <c r="N161" s="24" t="s">
        <v>43</v>
      </c>
      <c r="O161" s="7" t="s">
        <v>186</v>
      </c>
      <c r="P161" s="26">
        <v>658</v>
      </c>
      <c r="Q161" s="26">
        <v>651</v>
      </c>
      <c r="R161" s="26">
        <v>649</v>
      </c>
      <c r="S161" s="26">
        <f>C161-SUM(P161:R161)</f>
        <v>686</v>
      </c>
      <c r="T161" s="26">
        <v>566</v>
      </c>
      <c r="U161" s="26">
        <v>584</v>
      </c>
      <c r="V161" s="26">
        <v>609</v>
      </c>
      <c r="W161" s="26">
        <f>D161-SUM(T161:V161)</f>
        <v>732</v>
      </c>
      <c r="X161" s="26">
        <v>566</v>
      </c>
      <c r="Y161" s="26">
        <v>409</v>
      </c>
      <c r="Z161" s="26">
        <v>586</v>
      </c>
      <c r="AA161" s="26">
        <f>E161-SUM(X161:Z161)</f>
        <v>711</v>
      </c>
      <c r="AB161" s="26">
        <v>625</v>
      </c>
      <c r="AC161" s="26">
        <v>682</v>
      </c>
      <c r="AD161" s="26">
        <v>692</v>
      </c>
      <c r="AE161" s="26">
        <f>F161-SUM(AB161:AD161)</f>
        <v>794</v>
      </c>
      <c r="AF161" s="26">
        <v>660</v>
      </c>
      <c r="AG161" s="26">
        <v>677</v>
      </c>
      <c r="AH161" s="26">
        <v>704</v>
      </c>
      <c r="AI161" s="29">
        <f>G161-SUM(AF161:AH161)</f>
        <v>793</v>
      </c>
      <c r="AJ161" s="26">
        <v>687</v>
      </c>
      <c r="AK161" s="26">
        <v>682</v>
      </c>
      <c r="AL161" s="26">
        <v>700</v>
      </c>
      <c r="AM161" s="26">
        <v>761</v>
      </c>
      <c r="AN161" s="26">
        <v>632</v>
      </c>
      <c r="AO161" s="26">
        <v>717</v>
      </c>
      <c r="AP161" s="26">
        <v>785</v>
      </c>
      <c r="AQ161" s="29">
        <v>965</v>
      </c>
      <c r="AR161" s="26">
        <v>773</v>
      </c>
      <c r="AS161" s="26">
        <v>849</v>
      </c>
      <c r="AT161" s="26">
        <v>879</v>
      </c>
      <c r="AU161" s="29">
        <v>1041</v>
      </c>
      <c r="AV161"/>
      <c r="AW161" s="7" t="s">
        <v>186</v>
      </c>
      <c r="AX161"/>
      <c r="AY161" s="77"/>
      <c r="AZ161"/>
      <c r="BA161" s="77"/>
      <c r="BB161" s="7" t="s">
        <v>187</v>
      </c>
      <c r="BC161" s="34">
        <f t="shared" ref="BC161:BC163" si="116">SUM(AN161:AQ161)</f>
        <v>3099</v>
      </c>
      <c r="BD161" s="34">
        <f t="shared" ref="BD161:BD164" si="117">SUM(AR161:AU161)</f>
        <v>3542</v>
      </c>
      <c r="BE161" s="35">
        <f t="shared" ref="BE161:BE164" si="118">(BD161-BC161)/ABS(BC161)</f>
        <v>0.14294933849628913</v>
      </c>
      <c r="BF161" s="35">
        <f t="shared" ref="BF161:BF164" si="119">(AU161/AP161)^(1/5)-1</f>
        <v>5.8074418877927414E-2</v>
      </c>
    </row>
    <row r="162" spans="1:58" ht="18" customHeight="1" x14ac:dyDescent="0.3">
      <c r="A162" s="24" t="s">
        <v>43</v>
      </c>
      <c r="B162" s="7" t="s">
        <v>188</v>
      </c>
      <c r="C162" s="34">
        <v>988</v>
      </c>
      <c r="D162" s="34">
        <v>2079</v>
      </c>
      <c r="E162" s="34">
        <v>2031</v>
      </c>
      <c r="F162" s="34">
        <v>2238</v>
      </c>
      <c r="G162" s="34">
        <v>2437</v>
      </c>
      <c r="H162" s="34">
        <v>2641</v>
      </c>
      <c r="I162" s="34">
        <v>2860</v>
      </c>
      <c r="J162" s="34">
        <v>3095</v>
      </c>
      <c r="N162" s="24" t="s">
        <v>43</v>
      </c>
      <c r="O162" s="7" t="s">
        <v>188</v>
      </c>
      <c r="P162" s="26">
        <v>462</v>
      </c>
      <c r="Q162" s="26">
        <v>484</v>
      </c>
      <c r="R162" s="26">
        <v>513</v>
      </c>
      <c r="S162" s="26">
        <f t="shared" ref="S162:S164" si="120">C162-SUM(P162:R162)</f>
        <v>-471</v>
      </c>
      <c r="T162" s="26">
        <v>445</v>
      </c>
      <c r="U162" s="26">
        <v>480</v>
      </c>
      <c r="V162" s="26">
        <v>489</v>
      </c>
      <c r="W162" s="26">
        <f>D162-SUM(T162:V162)</f>
        <v>665</v>
      </c>
      <c r="X162" s="26">
        <v>453</v>
      </c>
      <c r="Y162" s="26">
        <v>449</v>
      </c>
      <c r="Z162" s="26">
        <v>501</v>
      </c>
      <c r="AA162" s="26">
        <f>E162-SUM(X162:Z162)</f>
        <v>628</v>
      </c>
      <c r="AB162" s="26">
        <v>488</v>
      </c>
      <c r="AC162" s="26">
        <v>532</v>
      </c>
      <c r="AD162" s="26">
        <v>534</v>
      </c>
      <c r="AE162" s="26">
        <f t="shared" ref="AE162:AE164" si="121">F162-SUM(AB162:AD162)</f>
        <v>684</v>
      </c>
      <c r="AF162" s="26">
        <v>517</v>
      </c>
      <c r="AG162" s="26">
        <v>586</v>
      </c>
      <c r="AH162" s="26">
        <v>568</v>
      </c>
      <c r="AI162" s="29">
        <f t="shared" ref="AI162:AI163" si="122">G162-SUM(AF162:AH162)</f>
        <v>766</v>
      </c>
      <c r="AJ162" s="26">
        <v>572</v>
      </c>
      <c r="AK162" s="26">
        <v>621</v>
      </c>
      <c r="AL162" s="26">
        <v>629</v>
      </c>
      <c r="AM162" s="26">
        <v>819</v>
      </c>
      <c r="AN162" s="26">
        <v>598</v>
      </c>
      <c r="AO162" s="26">
        <v>666</v>
      </c>
      <c r="AP162" s="26">
        <v>666</v>
      </c>
      <c r="AQ162" s="29">
        <v>930</v>
      </c>
      <c r="AR162" s="26">
        <v>657</v>
      </c>
      <c r="AS162" s="26">
        <v>711</v>
      </c>
      <c r="AT162" s="26">
        <v>730</v>
      </c>
      <c r="AU162" s="29">
        <v>997</v>
      </c>
      <c r="AV162"/>
      <c r="AW162" s="7" t="s">
        <v>188</v>
      </c>
      <c r="AX162"/>
      <c r="AY162" s="77"/>
      <c r="AZ162"/>
      <c r="BA162" s="77"/>
      <c r="BB162" s="7" t="s">
        <v>189</v>
      </c>
      <c r="BC162" s="34">
        <f t="shared" si="116"/>
        <v>2860</v>
      </c>
      <c r="BD162" s="34">
        <f t="shared" si="117"/>
        <v>3095</v>
      </c>
      <c r="BE162" s="35">
        <f t="shared" si="118"/>
        <v>8.2167832167832161E-2</v>
      </c>
      <c r="BF162" s="35">
        <f t="shared" si="119"/>
        <v>8.4037200121941602E-2</v>
      </c>
    </row>
    <row r="163" spans="1:58" ht="18" customHeight="1" x14ac:dyDescent="0.3">
      <c r="A163" s="24" t="s">
        <v>43</v>
      </c>
      <c r="B163" s="7" t="s">
        <v>190</v>
      </c>
      <c r="C163" s="34">
        <v>2056</v>
      </c>
      <c r="D163" s="34">
        <v>1027</v>
      </c>
      <c r="E163" s="34">
        <v>1002</v>
      </c>
      <c r="F163" s="34">
        <v>1028</v>
      </c>
      <c r="G163" s="34">
        <v>1004</v>
      </c>
      <c r="H163" s="34">
        <v>1019</v>
      </c>
      <c r="I163" s="34">
        <v>1008</v>
      </c>
      <c r="J163" s="34">
        <v>1013</v>
      </c>
      <c r="N163" s="24" t="s">
        <v>43</v>
      </c>
      <c r="O163" s="7" t="s">
        <v>190</v>
      </c>
      <c r="P163" s="26">
        <v>251</v>
      </c>
      <c r="Q163" s="26">
        <v>233</v>
      </c>
      <c r="R163" s="26">
        <v>229</v>
      </c>
      <c r="S163" s="26">
        <f t="shared" si="120"/>
        <v>1343</v>
      </c>
      <c r="T163" s="26">
        <v>243</v>
      </c>
      <c r="U163" s="26">
        <v>246</v>
      </c>
      <c r="V163" s="26">
        <v>241</v>
      </c>
      <c r="W163" s="26">
        <f>D163-SUM(T163:V163)</f>
        <v>297</v>
      </c>
      <c r="X163" s="26">
        <v>235</v>
      </c>
      <c r="Y163" s="26">
        <v>235</v>
      </c>
      <c r="Z163" s="26">
        <v>243</v>
      </c>
      <c r="AA163" s="26">
        <f>E163-SUM(X163:Z163)</f>
        <v>289</v>
      </c>
      <c r="AB163" s="26">
        <v>251</v>
      </c>
      <c r="AC163" s="26">
        <v>249</v>
      </c>
      <c r="AD163" s="26">
        <v>247</v>
      </c>
      <c r="AE163" s="26">
        <f t="shared" si="121"/>
        <v>281</v>
      </c>
      <c r="AF163" s="26">
        <v>244</v>
      </c>
      <c r="AG163" s="26">
        <v>235</v>
      </c>
      <c r="AH163" s="26">
        <v>237</v>
      </c>
      <c r="AI163" s="29">
        <f t="shared" si="122"/>
        <v>288</v>
      </c>
      <c r="AJ163" s="26">
        <v>254</v>
      </c>
      <c r="AK163" s="26">
        <v>242</v>
      </c>
      <c r="AL163" s="26">
        <v>242</v>
      </c>
      <c r="AM163" s="26">
        <v>281</v>
      </c>
      <c r="AN163" s="26">
        <v>238</v>
      </c>
      <c r="AO163" s="26">
        <v>239</v>
      </c>
      <c r="AP163" s="26">
        <v>238</v>
      </c>
      <c r="AQ163" s="29">
        <v>293</v>
      </c>
      <c r="AR163" s="26">
        <v>231</v>
      </c>
      <c r="AS163" s="26">
        <v>239</v>
      </c>
      <c r="AT163" s="26">
        <v>240</v>
      </c>
      <c r="AU163" s="29">
        <v>303</v>
      </c>
      <c r="AV163"/>
      <c r="AW163" s="7" t="s">
        <v>190</v>
      </c>
      <c r="AX163"/>
      <c r="AY163" s="77"/>
      <c r="AZ163"/>
      <c r="BA163" s="77"/>
      <c r="BB163" s="7" t="s">
        <v>191</v>
      </c>
      <c r="BC163" s="34">
        <f t="shared" si="116"/>
        <v>1008</v>
      </c>
      <c r="BD163" s="34">
        <f t="shared" si="117"/>
        <v>1013</v>
      </c>
      <c r="BE163" s="35">
        <f t="shared" si="118"/>
        <v>4.96031746031746E-3</v>
      </c>
      <c r="BF163" s="35">
        <f t="shared" si="119"/>
        <v>4.9477505351510187E-2</v>
      </c>
    </row>
    <row r="164" spans="1:58" ht="18" customHeight="1" x14ac:dyDescent="0.3">
      <c r="A164" s="24" t="s">
        <v>43</v>
      </c>
      <c r="B164" s="7" t="s">
        <v>192</v>
      </c>
      <c r="C164" s="34">
        <v>0</v>
      </c>
      <c r="D164" s="34">
        <v>0</v>
      </c>
      <c r="E164" s="34">
        <v>347</v>
      </c>
      <c r="F164" s="34">
        <v>525</v>
      </c>
      <c r="G164" s="34">
        <v>567</v>
      </c>
      <c r="H164" s="34">
        <v>586</v>
      </c>
      <c r="I164" s="34">
        <f>600-18</f>
        <v>582</v>
      </c>
      <c r="J164" s="34">
        <v>564</v>
      </c>
      <c r="N164" s="24" t="s">
        <v>43</v>
      </c>
      <c r="O164" s="7" t="s">
        <v>192</v>
      </c>
      <c r="P164" s="26">
        <v>0</v>
      </c>
      <c r="Q164" s="26">
        <v>0</v>
      </c>
      <c r="R164" s="26">
        <v>0</v>
      </c>
      <c r="S164" s="26">
        <f t="shared" si="120"/>
        <v>0</v>
      </c>
      <c r="T164" s="26">
        <v>0</v>
      </c>
      <c r="U164" s="26">
        <v>0</v>
      </c>
      <c r="V164" s="26">
        <v>0</v>
      </c>
      <c r="W164" s="26">
        <f t="shared" ref="W164" si="123">D164-SUM(T164:V164)</f>
        <v>0</v>
      </c>
      <c r="X164" s="26">
        <v>9</v>
      </c>
      <c r="Y164" s="26">
        <v>105</v>
      </c>
      <c r="Z164" s="26">
        <v>118</v>
      </c>
      <c r="AA164" s="26">
        <f t="shared" ref="AA164" si="124">E164-SUM(X164:Z164)</f>
        <v>115</v>
      </c>
      <c r="AB164" s="26">
        <v>122</v>
      </c>
      <c r="AC164" s="26">
        <v>139</v>
      </c>
      <c r="AD164" s="26">
        <v>133</v>
      </c>
      <c r="AE164" s="26">
        <f t="shared" si="121"/>
        <v>131</v>
      </c>
      <c r="AF164" s="26">
        <v>126</v>
      </c>
      <c r="AG164" s="26">
        <v>138</v>
      </c>
      <c r="AH164" s="26">
        <v>131</v>
      </c>
      <c r="AI164" s="29">
        <f>G164-SUM(AF164:AH164)</f>
        <v>172</v>
      </c>
      <c r="AJ164" s="26">
        <v>132</v>
      </c>
      <c r="AK164" s="26">
        <v>142</v>
      </c>
      <c r="AL164" s="26">
        <v>137</v>
      </c>
      <c r="AM164" s="26">
        <v>175</v>
      </c>
      <c r="AN164" s="26">
        <v>130</v>
      </c>
      <c r="AO164" s="26">
        <v>141</v>
      </c>
      <c r="AP164" s="26">
        <v>137</v>
      </c>
      <c r="AQ164" s="29">
        <v>174</v>
      </c>
      <c r="AR164" s="26">
        <v>126</v>
      </c>
      <c r="AS164" s="26">
        <v>134</v>
      </c>
      <c r="AT164" s="26">
        <f>134-4</f>
        <v>130</v>
      </c>
      <c r="AU164" s="29">
        <v>174</v>
      </c>
      <c r="AV164"/>
      <c r="AW164" s="7" t="s">
        <v>192</v>
      </c>
      <c r="AX164"/>
      <c r="AY164" s="77"/>
      <c r="AZ164"/>
      <c r="BA164" s="77"/>
      <c r="BB164" s="7" t="s">
        <v>193</v>
      </c>
      <c r="BC164" s="34">
        <f>SUM(AN164:AQ164)</f>
        <v>582</v>
      </c>
      <c r="BD164" s="34">
        <f t="shared" si="117"/>
        <v>564</v>
      </c>
      <c r="BE164" s="35">
        <f t="shared" si="118"/>
        <v>-3.0927835051546393E-2</v>
      </c>
      <c r="BF164" s="35">
        <f t="shared" si="119"/>
        <v>4.89764452454724E-2</v>
      </c>
    </row>
    <row r="165" spans="1:58" ht="18" customHeight="1" thickBot="1" x14ac:dyDescent="0.35">
      <c r="C165" s="53">
        <f t="shared" ref="C165:J165" si="125">SUM(C161:C164)</f>
        <v>5688</v>
      </c>
      <c r="D165" s="53">
        <f t="shared" si="125"/>
        <v>5597</v>
      </c>
      <c r="E165" s="53">
        <f t="shared" si="125"/>
        <v>5652</v>
      </c>
      <c r="F165" s="53">
        <f t="shared" si="125"/>
        <v>6584</v>
      </c>
      <c r="G165" s="53">
        <f t="shared" si="125"/>
        <v>6842</v>
      </c>
      <c r="H165" s="53">
        <f t="shared" si="125"/>
        <v>7076</v>
      </c>
      <c r="I165" s="53">
        <f t="shared" si="125"/>
        <v>7549</v>
      </c>
      <c r="J165" s="53">
        <f t="shared" si="125"/>
        <v>8214</v>
      </c>
      <c r="N165" s="24"/>
      <c r="O165" s="6" t="s">
        <v>77</v>
      </c>
      <c r="P165" s="53">
        <f t="shared" ref="P165:AU165" si="126">SUM(P161:P164)</f>
        <v>1371</v>
      </c>
      <c r="Q165" s="53">
        <f t="shared" si="126"/>
        <v>1368</v>
      </c>
      <c r="R165" s="53">
        <f t="shared" si="126"/>
        <v>1391</v>
      </c>
      <c r="S165" s="53">
        <f t="shared" si="126"/>
        <v>1558</v>
      </c>
      <c r="T165" s="53">
        <f t="shared" si="126"/>
        <v>1254</v>
      </c>
      <c r="U165" s="53">
        <f t="shared" si="126"/>
        <v>1310</v>
      </c>
      <c r="V165" s="53">
        <f t="shared" si="126"/>
        <v>1339</v>
      </c>
      <c r="W165" s="53">
        <f t="shared" si="126"/>
        <v>1694</v>
      </c>
      <c r="X165" s="53">
        <f t="shared" si="126"/>
        <v>1263</v>
      </c>
      <c r="Y165" s="53">
        <f t="shared" si="126"/>
        <v>1198</v>
      </c>
      <c r="Z165" s="53">
        <f t="shared" si="126"/>
        <v>1448</v>
      </c>
      <c r="AA165" s="53">
        <f t="shared" si="126"/>
        <v>1743</v>
      </c>
      <c r="AB165" s="53">
        <f t="shared" si="126"/>
        <v>1486</v>
      </c>
      <c r="AC165" s="53">
        <f t="shared" si="126"/>
        <v>1602</v>
      </c>
      <c r="AD165" s="53">
        <f t="shared" si="126"/>
        <v>1606</v>
      </c>
      <c r="AE165" s="53">
        <f t="shared" si="126"/>
        <v>1890</v>
      </c>
      <c r="AF165" s="53">
        <f t="shared" si="126"/>
        <v>1547</v>
      </c>
      <c r="AG165" s="53">
        <f t="shared" si="126"/>
        <v>1636</v>
      </c>
      <c r="AH165" s="53">
        <f t="shared" si="126"/>
        <v>1640</v>
      </c>
      <c r="AI165" s="53">
        <f t="shared" si="126"/>
        <v>2019</v>
      </c>
      <c r="AJ165" s="53">
        <f t="shared" si="126"/>
        <v>1645</v>
      </c>
      <c r="AK165" s="53">
        <f t="shared" si="126"/>
        <v>1687</v>
      </c>
      <c r="AL165" s="53">
        <f t="shared" si="126"/>
        <v>1708</v>
      </c>
      <c r="AM165" s="53">
        <f t="shared" si="126"/>
        <v>2036</v>
      </c>
      <c r="AN165" s="53">
        <f t="shared" si="126"/>
        <v>1598</v>
      </c>
      <c r="AO165" s="53">
        <f t="shared" si="126"/>
        <v>1763</v>
      </c>
      <c r="AP165" s="53">
        <f t="shared" si="126"/>
        <v>1826</v>
      </c>
      <c r="AQ165" s="53">
        <f t="shared" si="126"/>
        <v>2362</v>
      </c>
      <c r="AR165" s="53">
        <f t="shared" si="126"/>
        <v>1787</v>
      </c>
      <c r="AS165" s="53">
        <f t="shared" si="126"/>
        <v>1933</v>
      </c>
      <c r="AT165" s="53">
        <f t="shared" si="126"/>
        <v>1979</v>
      </c>
      <c r="AU165" s="53">
        <f t="shared" si="126"/>
        <v>2515</v>
      </c>
      <c r="AV165" s="58"/>
      <c r="AW165" s="6" t="s">
        <v>77</v>
      </c>
      <c r="AX165"/>
      <c r="AY165"/>
      <c r="AZ165"/>
      <c r="BA165"/>
      <c r="BB165"/>
      <c r="BC165" s="84"/>
      <c r="BD165"/>
    </row>
    <row r="166" spans="1:58" ht="18" customHeight="1" thickTop="1" x14ac:dyDescent="0.3">
      <c r="A166" s="2"/>
      <c r="B166" s="2"/>
      <c r="C166" s="2"/>
      <c r="D166" s="2"/>
      <c r="E166" s="66"/>
      <c r="F166" s="2"/>
      <c r="G166" s="2"/>
      <c r="H166" s="2"/>
      <c r="J166" s="2"/>
      <c r="N166" s="2"/>
      <c r="O166" s="2"/>
      <c r="P166" s="26"/>
      <c r="Q166" s="26"/>
      <c r="R166" s="26"/>
      <c r="S166" s="26"/>
      <c r="T166" s="26"/>
      <c r="U166" s="29"/>
      <c r="V166" s="29"/>
      <c r="W166" s="29"/>
      <c r="X166" s="29"/>
      <c r="Y166" s="29"/>
      <c r="Z166" s="29"/>
      <c r="AA166" s="29"/>
      <c r="AB166" s="29"/>
      <c r="AC166" s="29"/>
      <c r="AD166" s="29"/>
      <c r="AE166" s="29"/>
      <c r="AF166" s="29"/>
      <c r="AG166" s="29"/>
      <c r="AH166" s="29"/>
      <c r="AI166" s="29"/>
      <c r="AJ166" s="29"/>
      <c r="AK166" s="29"/>
      <c r="AL166"/>
      <c r="AM166" s="29"/>
      <c r="AN166" s="58"/>
      <c r="AO166" s="58"/>
      <c r="AP166" s="58"/>
      <c r="AQ166" s="58"/>
      <c r="AR166" s="58"/>
      <c r="AS166" s="58"/>
      <c r="AT166"/>
      <c r="AU166" s="58"/>
      <c r="AV166"/>
      <c r="AX166"/>
      <c r="AY166"/>
      <c r="AZ166"/>
      <c r="BA166"/>
      <c r="BB166"/>
      <c r="BC166" s="84"/>
      <c r="BD166"/>
    </row>
    <row r="167" spans="1:58" ht="18" customHeight="1" x14ac:dyDescent="0.3">
      <c r="A167" s="16" t="s">
        <v>68</v>
      </c>
      <c r="B167" s="8" t="s">
        <v>133</v>
      </c>
      <c r="C167" s="8">
        <v>2018</v>
      </c>
      <c r="D167" s="8">
        <v>2019</v>
      </c>
      <c r="E167" s="8">
        <v>2020</v>
      </c>
      <c r="F167" s="9">
        <v>2021</v>
      </c>
      <c r="G167" s="10">
        <v>2022</v>
      </c>
      <c r="H167" s="11">
        <v>2023</v>
      </c>
      <c r="I167" s="12">
        <v>2024</v>
      </c>
      <c r="J167" s="13">
        <v>2025</v>
      </c>
      <c r="N167" s="16" t="s">
        <v>68</v>
      </c>
      <c r="O167" s="8" t="s">
        <v>133</v>
      </c>
      <c r="P167" s="16" t="s">
        <v>125</v>
      </c>
      <c r="Q167" s="16" t="s">
        <v>126</v>
      </c>
      <c r="R167" s="16" t="s">
        <v>9</v>
      </c>
      <c r="S167" s="17" t="s">
        <v>100</v>
      </c>
      <c r="T167" s="16" t="s">
        <v>11</v>
      </c>
      <c r="U167" s="16" t="s">
        <v>12</v>
      </c>
      <c r="V167" s="16" t="s">
        <v>101</v>
      </c>
      <c r="W167" s="17" t="s">
        <v>102</v>
      </c>
      <c r="X167" s="16" t="s">
        <v>103</v>
      </c>
      <c r="Y167" s="16" t="s">
        <v>104</v>
      </c>
      <c r="Z167" s="16" t="s">
        <v>105</v>
      </c>
      <c r="AA167" s="17" t="s">
        <v>106</v>
      </c>
      <c r="AB167" s="16" t="s">
        <v>107</v>
      </c>
      <c r="AC167" s="16" t="s">
        <v>108</v>
      </c>
      <c r="AD167" s="16" t="s">
        <v>109</v>
      </c>
      <c r="AE167" s="17" t="s">
        <v>110</v>
      </c>
      <c r="AF167" s="16" t="s">
        <v>111</v>
      </c>
      <c r="AG167" s="16" t="s">
        <v>112</v>
      </c>
      <c r="AH167" s="16" t="s">
        <v>113</v>
      </c>
      <c r="AI167" s="17" t="s">
        <v>114</v>
      </c>
      <c r="AJ167" s="16" t="s">
        <v>115</v>
      </c>
      <c r="AK167" s="16" t="s">
        <v>116</v>
      </c>
      <c r="AL167" s="16" t="s">
        <v>117</v>
      </c>
      <c r="AM167" s="17" t="s">
        <v>30</v>
      </c>
      <c r="AN167" s="16" t="s">
        <v>31</v>
      </c>
      <c r="AO167" s="16" t="s">
        <v>32</v>
      </c>
      <c r="AP167" s="16" t="s">
        <v>118</v>
      </c>
      <c r="AQ167" s="17" t="s">
        <v>119</v>
      </c>
      <c r="AR167" s="16" t="s">
        <v>120</v>
      </c>
      <c r="AS167" s="16" t="s">
        <v>121</v>
      </c>
      <c r="AT167" s="16" t="s">
        <v>127</v>
      </c>
      <c r="AU167" s="17" t="s">
        <v>122</v>
      </c>
      <c r="AV167"/>
      <c r="AW167" s="8" t="s">
        <v>133</v>
      </c>
      <c r="AX167"/>
      <c r="AY167"/>
      <c r="AZ167"/>
      <c r="BA167"/>
      <c r="BB167" s="8" t="s">
        <v>133</v>
      </c>
      <c r="BC167" s="20" t="s">
        <v>123</v>
      </c>
      <c r="BD167" s="20" t="s">
        <v>39</v>
      </c>
      <c r="BE167" s="20" t="s">
        <v>41</v>
      </c>
      <c r="BF167" s="20" t="s">
        <v>42</v>
      </c>
    </row>
    <row r="168" spans="1:58" ht="18" customHeight="1" x14ac:dyDescent="0.3">
      <c r="A168" s="24" t="s">
        <v>43</v>
      </c>
      <c r="B168" s="7" t="s">
        <v>134</v>
      </c>
      <c r="C168" s="34">
        <v>3002.0282294086119</v>
      </c>
      <c r="D168" s="34">
        <v>2954</v>
      </c>
      <c r="E168" s="34">
        <v>3242</v>
      </c>
      <c r="F168" s="34">
        <v>3646</v>
      </c>
      <c r="G168" s="34">
        <v>3879</v>
      </c>
      <c r="H168" s="34">
        <v>4106</v>
      </c>
      <c r="I168" s="34">
        <v>4333</v>
      </c>
      <c r="J168" s="34">
        <v>4525</v>
      </c>
      <c r="N168" s="24" t="s">
        <v>43</v>
      </c>
      <c r="O168" s="7" t="s">
        <v>134</v>
      </c>
      <c r="P168" s="26">
        <v>708.45933014354068</v>
      </c>
      <c r="Q168" s="26">
        <v>720.54961832061065</v>
      </c>
      <c r="R168" s="26">
        <v>713.67961165048541</v>
      </c>
      <c r="S168" s="26">
        <v>859.33966929397502</v>
      </c>
      <c r="T168" s="26">
        <v>648</v>
      </c>
      <c r="U168" s="29">
        <v>690</v>
      </c>
      <c r="V168" s="29">
        <v>687</v>
      </c>
      <c r="W168" s="26">
        <v>929</v>
      </c>
      <c r="X168" s="29">
        <v>655</v>
      </c>
      <c r="Y168" s="29">
        <v>765</v>
      </c>
      <c r="Z168" s="29">
        <v>821</v>
      </c>
      <c r="AA168" s="26">
        <v>1001</v>
      </c>
      <c r="AB168" s="29">
        <v>820</v>
      </c>
      <c r="AC168" s="29">
        <v>882</v>
      </c>
      <c r="AD168" s="29">
        <v>866</v>
      </c>
      <c r="AE168" s="26">
        <v>1078</v>
      </c>
      <c r="AF168" s="29">
        <v>842</v>
      </c>
      <c r="AG168" s="29">
        <v>926</v>
      </c>
      <c r="AH168" s="29">
        <v>900</v>
      </c>
      <c r="AI168" s="29">
        <v>1211</v>
      </c>
      <c r="AJ168" s="29">
        <v>916</v>
      </c>
      <c r="AK168" s="29">
        <v>969</v>
      </c>
      <c r="AL168" s="29">
        <v>965</v>
      </c>
      <c r="AM168" s="26">
        <v>1256</v>
      </c>
      <c r="AN168" s="29">
        <v>927</v>
      </c>
      <c r="AO168" s="29">
        <v>1005</v>
      </c>
      <c r="AP168" s="29">
        <v>998</v>
      </c>
      <c r="AQ168" s="29">
        <v>1403</v>
      </c>
      <c r="AR168" s="29">
        <v>980</v>
      </c>
      <c r="AS168" s="29">
        <v>1043</v>
      </c>
      <c r="AT168" s="58">
        <v>1060</v>
      </c>
      <c r="AU168" s="29">
        <v>1442</v>
      </c>
      <c r="AV168"/>
      <c r="AW168" s="7" t="s">
        <v>134</v>
      </c>
      <c r="AX168"/>
      <c r="AY168"/>
      <c r="AZ168"/>
      <c r="BA168"/>
      <c r="BB168" s="7" t="s">
        <v>194</v>
      </c>
      <c r="BC168" s="34">
        <f t="shared" ref="BC168:BC170" si="127">SUM(AN168:AQ168)</f>
        <v>4333</v>
      </c>
      <c r="BD168" s="34">
        <f t="shared" ref="BD168:BD170" si="128">SUM(AR168:AU168)</f>
        <v>4525</v>
      </c>
      <c r="BE168" s="35">
        <f t="shared" ref="BE168:BE170" si="129">(BD168-BC168)/ABS(BC168)</f>
        <v>4.4311100853911836E-2</v>
      </c>
      <c r="BF168" s="35">
        <f t="shared" ref="BF168:BF170" si="130">(AU168/AP168)^(1/5)-1</f>
        <v>7.6383281954417459E-2</v>
      </c>
    </row>
    <row r="169" spans="1:58" ht="18" customHeight="1" x14ac:dyDescent="0.3">
      <c r="A169" s="24" t="s">
        <v>43</v>
      </c>
      <c r="B169" s="7" t="s">
        <v>195</v>
      </c>
      <c r="C169" s="34">
        <v>278.45488654636415</v>
      </c>
      <c r="D169" s="34">
        <v>274</v>
      </c>
      <c r="E169" s="34">
        <v>255</v>
      </c>
      <c r="F169" s="34">
        <v>297</v>
      </c>
      <c r="G169" s="34">
        <v>276</v>
      </c>
      <c r="H169" s="34">
        <v>316</v>
      </c>
      <c r="I169" s="34">
        <v>327</v>
      </c>
      <c r="J169" s="34">
        <v>343</v>
      </c>
      <c r="N169" s="24" t="s">
        <v>43</v>
      </c>
      <c r="O169" s="7" t="s">
        <v>195</v>
      </c>
      <c r="P169" s="26">
        <v>77.624401913875602</v>
      </c>
      <c r="Q169" s="26">
        <v>69.966412213740455</v>
      </c>
      <c r="R169" s="26">
        <v>75.834951456310677</v>
      </c>
      <c r="S169" s="26">
        <v>55.029120962437418</v>
      </c>
      <c r="T169" s="26">
        <v>71</v>
      </c>
      <c r="U169" s="29">
        <v>67</v>
      </c>
      <c r="V169" s="29">
        <v>73</v>
      </c>
      <c r="W169" s="26">
        <v>63</v>
      </c>
      <c r="X169" s="29">
        <v>57</v>
      </c>
      <c r="Y169" s="29">
        <v>59</v>
      </c>
      <c r="Z169" s="29">
        <v>71</v>
      </c>
      <c r="AA169" s="26">
        <v>68</v>
      </c>
      <c r="AB169" s="29">
        <v>78</v>
      </c>
      <c r="AC169" s="29">
        <v>74</v>
      </c>
      <c r="AD169" s="29">
        <v>77</v>
      </c>
      <c r="AE169" s="26">
        <v>68</v>
      </c>
      <c r="AF169" s="29">
        <v>77</v>
      </c>
      <c r="AG169" s="29">
        <v>61</v>
      </c>
      <c r="AH169" s="29">
        <v>78</v>
      </c>
      <c r="AI169" s="29">
        <v>60</v>
      </c>
      <c r="AJ169" s="29">
        <v>84</v>
      </c>
      <c r="AK169" s="29">
        <v>77</v>
      </c>
      <c r="AL169" s="29">
        <v>84</v>
      </c>
      <c r="AM169" s="26">
        <v>71</v>
      </c>
      <c r="AN169" s="29">
        <v>85</v>
      </c>
      <c r="AO169" s="29">
        <v>79</v>
      </c>
      <c r="AP169" s="29">
        <v>87</v>
      </c>
      <c r="AQ169" s="29">
        <v>76</v>
      </c>
      <c r="AR169" s="29">
        <v>86</v>
      </c>
      <c r="AS169" s="29">
        <v>82</v>
      </c>
      <c r="AT169" s="58">
        <v>93</v>
      </c>
      <c r="AU169" s="29">
        <v>82</v>
      </c>
      <c r="AV169"/>
      <c r="AW169" s="7" t="s">
        <v>195</v>
      </c>
      <c r="AX169"/>
      <c r="AY169"/>
      <c r="AZ169"/>
      <c r="BA169"/>
      <c r="BB169" s="7" t="s">
        <v>196</v>
      </c>
      <c r="BC169" s="34">
        <f t="shared" si="127"/>
        <v>327</v>
      </c>
      <c r="BD169" s="34">
        <f t="shared" si="128"/>
        <v>343</v>
      </c>
      <c r="BE169" s="35">
        <f t="shared" si="129"/>
        <v>4.8929663608562692E-2</v>
      </c>
      <c r="BF169" s="35">
        <f t="shared" si="130"/>
        <v>-1.1767983488791933E-2</v>
      </c>
    </row>
    <row r="170" spans="1:58" ht="18" customHeight="1" x14ac:dyDescent="0.3">
      <c r="A170" s="24" t="s">
        <v>43</v>
      </c>
      <c r="B170" s="7" t="s">
        <v>132</v>
      </c>
      <c r="C170" s="34">
        <v>2407.5168840450242</v>
      </c>
      <c r="D170" s="34">
        <v>2369</v>
      </c>
      <c r="E170" s="34">
        <v>2155</v>
      </c>
      <c r="F170" s="34">
        <v>2641</v>
      </c>
      <c r="G170" s="34">
        <v>2687</v>
      </c>
      <c r="H170" s="34">
        <v>2654</v>
      </c>
      <c r="I170" s="34">
        <v>2889</v>
      </c>
      <c r="J170" s="34">
        <v>3346</v>
      </c>
      <c r="N170" s="24" t="s">
        <v>43</v>
      </c>
      <c r="O170" s="7" t="s">
        <v>132</v>
      </c>
      <c r="P170" s="26">
        <v>584.91626794258377</v>
      </c>
      <c r="Q170" s="26">
        <v>577.4839694656489</v>
      </c>
      <c r="R170" s="26">
        <v>601.48543689320388</v>
      </c>
      <c r="S170" s="26">
        <v>643.63120974358753</v>
      </c>
      <c r="T170" s="26">
        <v>535</v>
      </c>
      <c r="U170" s="29">
        <v>553</v>
      </c>
      <c r="V170" s="29">
        <v>579</v>
      </c>
      <c r="W170" s="26">
        <v>702</v>
      </c>
      <c r="X170" s="29">
        <v>551</v>
      </c>
      <c r="Y170" s="29">
        <v>374</v>
      </c>
      <c r="Z170" s="29">
        <v>556</v>
      </c>
      <c r="AA170" s="26">
        <v>674</v>
      </c>
      <c r="AB170" s="29">
        <v>588</v>
      </c>
      <c r="AC170" s="29">
        <v>646</v>
      </c>
      <c r="AD170" s="29">
        <v>663</v>
      </c>
      <c r="AE170" s="26">
        <v>744</v>
      </c>
      <c r="AF170" s="29">
        <v>628</v>
      </c>
      <c r="AG170" s="29">
        <v>649</v>
      </c>
      <c r="AH170" s="29">
        <v>662</v>
      </c>
      <c r="AI170" s="29">
        <v>748</v>
      </c>
      <c r="AJ170" s="29">
        <v>645</v>
      </c>
      <c r="AK170" s="29">
        <v>641</v>
      </c>
      <c r="AL170" s="29">
        <v>659</v>
      </c>
      <c r="AM170" s="26">
        <v>709</v>
      </c>
      <c r="AN170" s="29">
        <v>586</v>
      </c>
      <c r="AO170" s="29">
        <v>679</v>
      </c>
      <c r="AP170" s="29">
        <v>741</v>
      </c>
      <c r="AQ170" s="29">
        <v>883</v>
      </c>
      <c r="AR170" s="29">
        <v>721</v>
      </c>
      <c r="AS170" s="29">
        <v>808</v>
      </c>
      <c r="AT170" s="58">
        <v>826</v>
      </c>
      <c r="AU170" s="29">
        <v>991</v>
      </c>
      <c r="AV170"/>
      <c r="AW170" s="7" t="s">
        <v>132</v>
      </c>
      <c r="AX170"/>
      <c r="AY170"/>
      <c r="AZ170"/>
      <c r="BA170"/>
      <c r="BB170" s="7" t="s">
        <v>197</v>
      </c>
      <c r="BC170" s="34">
        <f t="shared" si="127"/>
        <v>2889</v>
      </c>
      <c r="BD170" s="34">
        <f t="shared" si="128"/>
        <v>3346</v>
      </c>
      <c r="BE170" s="35">
        <f t="shared" si="129"/>
        <v>0.15818622360678436</v>
      </c>
      <c r="BF170" s="35">
        <f t="shared" si="130"/>
        <v>5.9866314534577691E-2</v>
      </c>
    </row>
    <row r="171" spans="1:58" ht="18" customHeight="1" thickBot="1" x14ac:dyDescent="0.35">
      <c r="A171" s="24"/>
      <c r="B171" s="6" t="s">
        <v>77</v>
      </c>
      <c r="C171" s="53">
        <v>5688</v>
      </c>
      <c r="D171" s="53">
        <v>5597</v>
      </c>
      <c r="E171" s="53">
        <v>5652</v>
      </c>
      <c r="F171" s="53">
        <v>6584</v>
      </c>
      <c r="G171" s="53">
        <v>6842</v>
      </c>
      <c r="H171" s="53">
        <v>7076</v>
      </c>
      <c r="I171" s="53">
        <v>7549</v>
      </c>
      <c r="J171" s="53">
        <f t="shared" ref="J171" si="131">SUM(J168:J170)</f>
        <v>8214</v>
      </c>
      <c r="N171" s="24"/>
      <c r="O171" s="6" t="s">
        <v>77</v>
      </c>
      <c r="P171" s="53">
        <f t="shared" ref="P171:AU171" si="132">SUM(P168:P170)</f>
        <v>1371</v>
      </c>
      <c r="Q171" s="53">
        <f t="shared" si="132"/>
        <v>1368</v>
      </c>
      <c r="R171" s="53">
        <f t="shared" si="132"/>
        <v>1391</v>
      </c>
      <c r="S171" s="53">
        <f t="shared" si="132"/>
        <v>1558</v>
      </c>
      <c r="T171" s="53">
        <f t="shared" si="132"/>
        <v>1254</v>
      </c>
      <c r="U171" s="53">
        <f t="shared" si="132"/>
        <v>1310</v>
      </c>
      <c r="V171" s="53">
        <f t="shared" si="132"/>
        <v>1339</v>
      </c>
      <c r="W171" s="53">
        <f t="shared" si="132"/>
        <v>1694</v>
      </c>
      <c r="X171" s="53">
        <f t="shared" si="132"/>
        <v>1263</v>
      </c>
      <c r="Y171" s="53">
        <f t="shared" si="132"/>
        <v>1198</v>
      </c>
      <c r="Z171" s="53">
        <f t="shared" si="132"/>
        <v>1448</v>
      </c>
      <c r="AA171" s="53">
        <f t="shared" si="132"/>
        <v>1743</v>
      </c>
      <c r="AB171" s="53">
        <f t="shared" si="132"/>
        <v>1486</v>
      </c>
      <c r="AC171" s="53">
        <f t="shared" si="132"/>
        <v>1602</v>
      </c>
      <c r="AD171" s="53">
        <f t="shared" si="132"/>
        <v>1606</v>
      </c>
      <c r="AE171" s="53">
        <f t="shared" si="132"/>
        <v>1890</v>
      </c>
      <c r="AF171" s="53">
        <f t="shared" si="132"/>
        <v>1547</v>
      </c>
      <c r="AG171" s="53">
        <f t="shared" si="132"/>
        <v>1636</v>
      </c>
      <c r="AH171" s="53">
        <f t="shared" si="132"/>
        <v>1640</v>
      </c>
      <c r="AI171" s="53">
        <f t="shared" si="132"/>
        <v>2019</v>
      </c>
      <c r="AJ171" s="53">
        <f t="shared" si="132"/>
        <v>1645</v>
      </c>
      <c r="AK171" s="53">
        <f t="shared" si="132"/>
        <v>1687</v>
      </c>
      <c r="AL171" s="53">
        <f t="shared" si="132"/>
        <v>1708</v>
      </c>
      <c r="AM171" s="53">
        <f t="shared" si="132"/>
        <v>2036</v>
      </c>
      <c r="AN171" s="53">
        <f t="shared" si="132"/>
        <v>1598</v>
      </c>
      <c r="AO171" s="53">
        <f t="shared" si="132"/>
        <v>1763</v>
      </c>
      <c r="AP171" s="53">
        <f t="shared" si="132"/>
        <v>1826</v>
      </c>
      <c r="AQ171" s="53">
        <f t="shared" si="132"/>
        <v>2362</v>
      </c>
      <c r="AR171" s="53">
        <f t="shared" si="132"/>
        <v>1787</v>
      </c>
      <c r="AS171" s="53">
        <f t="shared" si="132"/>
        <v>1933</v>
      </c>
      <c r="AT171" s="53">
        <f t="shared" si="132"/>
        <v>1979</v>
      </c>
      <c r="AU171" s="53">
        <f t="shared" si="132"/>
        <v>2515</v>
      </c>
      <c r="AV171"/>
      <c r="AW171" s="6" t="s">
        <v>77</v>
      </c>
      <c r="AX171"/>
      <c r="AY171"/>
      <c r="AZ171"/>
      <c r="BA171"/>
      <c r="BB171"/>
      <c r="BC171" s="84"/>
      <c r="BD171"/>
    </row>
    <row r="172" spans="1:58" ht="18" customHeight="1" thickTop="1" x14ac:dyDescent="0.3">
      <c r="AI172"/>
      <c r="AJ172"/>
      <c r="AK172"/>
      <c r="AL172"/>
      <c r="AM172"/>
      <c r="AN172"/>
      <c r="AO172"/>
      <c r="AP172"/>
      <c r="AQ172"/>
      <c r="AR172"/>
      <c r="AS172"/>
      <c r="AT172"/>
      <c r="AU172"/>
      <c r="AV172"/>
      <c r="AW172" s="51"/>
      <c r="AX172"/>
      <c r="AY172"/>
      <c r="AZ172"/>
      <c r="BA172"/>
      <c r="BB172"/>
      <c r="BC172" s="84"/>
      <c r="BD172"/>
    </row>
    <row r="173" spans="1:58" ht="18" customHeight="1" x14ac:dyDescent="0.3">
      <c r="A173" s="16" t="s">
        <v>68</v>
      </c>
      <c r="B173" s="8" t="s">
        <v>165</v>
      </c>
      <c r="C173" s="8">
        <v>2018</v>
      </c>
      <c r="D173" s="8">
        <v>2019</v>
      </c>
      <c r="E173" s="8">
        <v>2020</v>
      </c>
      <c r="F173" s="9">
        <v>2021</v>
      </c>
      <c r="G173" s="10">
        <v>2022</v>
      </c>
      <c r="H173" s="11">
        <v>2023</v>
      </c>
      <c r="I173" s="12">
        <v>2024</v>
      </c>
      <c r="J173" s="13">
        <v>2025</v>
      </c>
      <c r="N173" s="16" t="s">
        <v>68</v>
      </c>
      <c r="O173" s="8" t="s">
        <v>165</v>
      </c>
      <c r="P173" s="16" t="s">
        <v>125</v>
      </c>
      <c r="Q173" s="16" t="s">
        <v>126</v>
      </c>
      <c r="R173" s="16" t="s">
        <v>9</v>
      </c>
      <c r="S173" s="17" t="s">
        <v>100</v>
      </c>
      <c r="T173" s="16" t="s">
        <v>11</v>
      </c>
      <c r="U173" s="16" t="s">
        <v>12</v>
      </c>
      <c r="V173" s="16" t="s">
        <v>101</v>
      </c>
      <c r="W173" s="17" t="s">
        <v>102</v>
      </c>
      <c r="X173" s="16" t="s">
        <v>103</v>
      </c>
      <c r="Y173" s="16" t="s">
        <v>104</v>
      </c>
      <c r="Z173" s="16" t="s">
        <v>105</v>
      </c>
      <c r="AA173" s="17" t="s">
        <v>106</v>
      </c>
      <c r="AB173" s="16" t="s">
        <v>107</v>
      </c>
      <c r="AC173" s="16" t="s">
        <v>108</v>
      </c>
      <c r="AD173" s="16" t="s">
        <v>109</v>
      </c>
      <c r="AE173" s="17" t="s">
        <v>110</v>
      </c>
      <c r="AF173" s="16" t="s">
        <v>111</v>
      </c>
      <c r="AG173" s="16" t="s">
        <v>112</v>
      </c>
      <c r="AH173" s="16" t="s">
        <v>113</v>
      </c>
      <c r="AI173" s="17" t="s">
        <v>114</v>
      </c>
      <c r="AJ173" s="16" t="s">
        <v>115</v>
      </c>
      <c r="AK173" s="16" t="s">
        <v>116</v>
      </c>
      <c r="AL173" s="16" t="s">
        <v>117</v>
      </c>
      <c r="AM173" s="17" t="s">
        <v>30</v>
      </c>
      <c r="AN173" s="16" t="s">
        <v>31</v>
      </c>
      <c r="AO173" s="16" t="s">
        <v>32</v>
      </c>
      <c r="AP173" s="16" t="s">
        <v>118</v>
      </c>
      <c r="AQ173" s="17" t="s">
        <v>119</v>
      </c>
      <c r="AR173" s="16" t="s">
        <v>120</v>
      </c>
      <c r="AS173" s="16" t="s">
        <v>121</v>
      </c>
      <c r="AT173" s="16" t="s">
        <v>127</v>
      </c>
      <c r="AU173" s="17" t="s">
        <v>122</v>
      </c>
      <c r="AV173"/>
      <c r="AW173" s="8" t="s">
        <v>165</v>
      </c>
      <c r="AX173"/>
      <c r="AY173"/>
      <c r="AZ173"/>
      <c r="BA173"/>
      <c r="BB173" s="85" t="s">
        <v>165</v>
      </c>
      <c r="BC173" s="20" t="s">
        <v>123</v>
      </c>
      <c r="BD173" s="20" t="s">
        <v>39</v>
      </c>
      <c r="BE173" s="20" t="s">
        <v>41</v>
      </c>
      <c r="BF173" s="20" t="s">
        <v>42</v>
      </c>
    </row>
    <row r="174" spans="1:58" ht="18" customHeight="1" x14ac:dyDescent="0.3">
      <c r="A174" s="24" t="s">
        <v>43</v>
      </c>
      <c r="B174" s="7" t="s">
        <v>166</v>
      </c>
      <c r="C174" s="29">
        <v>2000</v>
      </c>
      <c r="D174" s="29">
        <v>1546</v>
      </c>
      <c r="E174" s="29">
        <v>1810</v>
      </c>
      <c r="F174" s="29">
        <v>2106</v>
      </c>
      <c r="G174" s="29">
        <v>2072</v>
      </c>
      <c r="H174" s="34">
        <v>2142</v>
      </c>
      <c r="I174" s="34">
        <v>2552</v>
      </c>
      <c r="J174" s="34">
        <v>2945</v>
      </c>
      <c r="N174" s="24" t="s">
        <v>43</v>
      </c>
      <c r="O174" s="7" t="s">
        <v>166</v>
      </c>
      <c r="P174" s="29">
        <v>512</v>
      </c>
      <c r="Q174" s="29">
        <v>512</v>
      </c>
      <c r="R174" s="29">
        <v>499</v>
      </c>
      <c r="S174" s="26">
        <f>C174-SUM(P174:R174)</f>
        <v>477</v>
      </c>
      <c r="T174" s="29">
        <v>333</v>
      </c>
      <c r="U174" s="29">
        <v>359</v>
      </c>
      <c r="V174" s="29">
        <v>364</v>
      </c>
      <c r="W174" s="29">
        <f>D174-SUM(T174:V174)</f>
        <v>490</v>
      </c>
      <c r="X174" s="29">
        <v>355</v>
      </c>
      <c r="Y174" s="29">
        <v>403</v>
      </c>
      <c r="Z174" s="29">
        <v>486</v>
      </c>
      <c r="AA174" s="29">
        <f>E174-SUM(X174:Z174)</f>
        <v>566</v>
      </c>
      <c r="AB174" s="29">
        <v>476</v>
      </c>
      <c r="AC174" s="29">
        <v>520</v>
      </c>
      <c r="AD174" s="29">
        <v>513</v>
      </c>
      <c r="AE174" s="26">
        <f>F174-SUM(AB174:AD174)</f>
        <v>597</v>
      </c>
      <c r="AF174" s="29">
        <v>470</v>
      </c>
      <c r="AG174" s="29">
        <v>499</v>
      </c>
      <c r="AH174" s="29">
        <v>479</v>
      </c>
      <c r="AI174" s="29">
        <f>G174-SUM(AF174:AH174)</f>
        <v>624</v>
      </c>
      <c r="AJ174" s="29">
        <v>474</v>
      </c>
      <c r="AK174" s="29">
        <v>511</v>
      </c>
      <c r="AL174" s="29">
        <v>510</v>
      </c>
      <c r="AM174" s="26">
        <v>647</v>
      </c>
      <c r="AN174" s="29">
        <v>474</v>
      </c>
      <c r="AO174" s="29">
        <v>572</v>
      </c>
      <c r="AP174" s="29">
        <v>621</v>
      </c>
      <c r="AQ174" s="29">
        <v>885</v>
      </c>
      <c r="AR174" s="29">
        <v>607</v>
      </c>
      <c r="AS174" s="29">
        <v>669</v>
      </c>
      <c r="AT174" s="29">
        <v>697</v>
      </c>
      <c r="AU174" s="29">
        <v>972</v>
      </c>
      <c r="AV174"/>
      <c r="AW174" s="7" t="s">
        <v>167</v>
      </c>
      <c r="AX174"/>
      <c r="AY174"/>
      <c r="AZ174"/>
      <c r="BA174"/>
      <c r="BB174" s="7" t="s">
        <v>198</v>
      </c>
      <c r="BC174" s="34">
        <f t="shared" ref="BC174:BC176" si="133">SUM(AN174:AQ174)</f>
        <v>2552</v>
      </c>
      <c r="BD174" s="34">
        <f t="shared" ref="BD174:BD176" si="134">SUM(AR174:AU174)</f>
        <v>2945</v>
      </c>
      <c r="BE174" s="35">
        <f t="shared" ref="BE174:BE176" si="135">(BD174-BC174)/ABS(BC174)</f>
        <v>0.15399686520376177</v>
      </c>
      <c r="BF174" s="35">
        <f t="shared" ref="BF174:BF176" si="136">(AU174/AP174)^(1/5)-1</f>
        <v>9.3742109514389105E-2</v>
      </c>
    </row>
    <row r="175" spans="1:58" ht="18" customHeight="1" x14ac:dyDescent="0.3">
      <c r="A175" s="24" t="s">
        <v>43</v>
      </c>
      <c r="B175" s="7" t="s">
        <v>169</v>
      </c>
      <c r="C175" s="67">
        <v>2482</v>
      </c>
      <c r="D175" s="67">
        <v>2660</v>
      </c>
      <c r="E175" s="67">
        <v>2510</v>
      </c>
      <c r="F175" s="67">
        <v>2900</v>
      </c>
      <c r="G175" s="67">
        <v>3096</v>
      </c>
      <c r="H175" s="34">
        <v>3247</v>
      </c>
      <c r="I175" s="34">
        <v>3295</v>
      </c>
      <c r="J175" s="34">
        <v>3473</v>
      </c>
      <c r="N175" s="24" t="s">
        <v>43</v>
      </c>
      <c r="O175" s="7" t="s">
        <v>169</v>
      </c>
      <c r="P175" s="29">
        <v>584</v>
      </c>
      <c r="Q175" s="29">
        <v>584</v>
      </c>
      <c r="R175" s="29">
        <v>605</v>
      </c>
      <c r="S175" s="26">
        <f t="shared" ref="S175:S176" si="137">C175-SUM(P175:R175)</f>
        <v>709</v>
      </c>
      <c r="T175" s="29">
        <v>612</v>
      </c>
      <c r="U175" s="29">
        <v>633</v>
      </c>
      <c r="V175" s="29">
        <v>645</v>
      </c>
      <c r="W175" s="29">
        <f t="shared" ref="W175:W176" si="138">D175-SUM(T175:V175)</f>
        <v>770</v>
      </c>
      <c r="X175" s="29">
        <v>596</v>
      </c>
      <c r="Y175" s="29">
        <v>525</v>
      </c>
      <c r="Z175" s="29">
        <v>639</v>
      </c>
      <c r="AA175" s="29">
        <f t="shared" ref="AA175:AA176" si="139">E175-SUM(X175:Z175)</f>
        <v>750</v>
      </c>
      <c r="AB175" s="29">
        <v>658</v>
      </c>
      <c r="AC175" s="29">
        <v>706</v>
      </c>
      <c r="AD175" s="29">
        <v>716</v>
      </c>
      <c r="AE175" s="26">
        <f t="shared" ref="AE175:AE176" si="140">F175-SUM(AB175:AD175)</f>
        <v>820</v>
      </c>
      <c r="AF175" s="29">
        <v>714</v>
      </c>
      <c r="AG175" s="29">
        <v>737</v>
      </c>
      <c r="AH175" s="29">
        <v>760</v>
      </c>
      <c r="AI175" s="29">
        <f t="shared" ref="AI175:AI176" si="141">G175-SUM(AF175:AH175)</f>
        <v>885</v>
      </c>
      <c r="AJ175" s="29">
        <v>770</v>
      </c>
      <c r="AK175" s="29">
        <v>785</v>
      </c>
      <c r="AL175" s="29">
        <v>796</v>
      </c>
      <c r="AM175" s="26">
        <v>896</v>
      </c>
      <c r="AN175" s="29">
        <v>757</v>
      </c>
      <c r="AO175" s="29">
        <v>789</v>
      </c>
      <c r="AP175" s="29">
        <v>804</v>
      </c>
      <c r="AQ175" s="29">
        <v>945</v>
      </c>
      <c r="AR175" s="29">
        <v>785</v>
      </c>
      <c r="AS175" s="29">
        <v>835.3</v>
      </c>
      <c r="AT175" s="29">
        <v>857</v>
      </c>
      <c r="AU175" s="29">
        <v>995.69999999999982</v>
      </c>
      <c r="AV175"/>
      <c r="AW175" s="7" t="s">
        <v>170</v>
      </c>
      <c r="AX175"/>
      <c r="AY175"/>
      <c r="AZ175"/>
      <c r="BA175"/>
      <c r="BB175" s="7" t="s">
        <v>199</v>
      </c>
      <c r="BC175" s="34">
        <f t="shared" si="133"/>
        <v>3295</v>
      </c>
      <c r="BD175" s="34">
        <f t="shared" si="134"/>
        <v>3473</v>
      </c>
      <c r="BE175" s="35">
        <f t="shared" si="135"/>
        <v>5.4021244309559936E-2</v>
      </c>
      <c r="BF175" s="35">
        <f t="shared" si="136"/>
        <v>4.3697135881497928E-2</v>
      </c>
    </row>
    <row r="176" spans="1:58" ht="18" customHeight="1" x14ac:dyDescent="0.3">
      <c r="A176" s="24" t="s">
        <v>43</v>
      </c>
      <c r="B176" t="s">
        <v>172</v>
      </c>
      <c r="C176" s="67">
        <v>1206</v>
      </c>
      <c r="D176" s="67">
        <v>1391</v>
      </c>
      <c r="E176" s="67">
        <v>1332</v>
      </c>
      <c r="F176" s="67">
        <v>1578</v>
      </c>
      <c r="G176" s="67">
        <v>1674</v>
      </c>
      <c r="H176" s="34">
        <v>1687</v>
      </c>
      <c r="I176" s="34">
        <v>1702</v>
      </c>
      <c r="J176" s="34">
        <v>1796</v>
      </c>
      <c r="N176" s="24" t="s">
        <v>43</v>
      </c>
      <c r="O176" t="s">
        <v>172</v>
      </c>
      <c r="P176" s="29">
        <v>275</v>
      </c>
      <c r="Q176" s="29">
        <v>272</v>
      </c>
      <c r="R176" s="29">
        <v>287</v>
      </c>
      <c r="S176" s="26">
        <f t="shared" si="137"/>
        <v>372</v>
      </c>
      <c r="T176" s="29">
        <v>309</v>
      </c>
      <c r="U176" s="29">
        <v>318</v>
      </c>
      <c r="V176" s="29">
        <v>330</v>
      </c>
      <c r="W176" s="29">
        <f t="shared" si="138"/>
        <v>434</v>
      </c>
      <c r="X176" s="29">
        <v>312</v>
      </c>
      <c r="Y176" s="29">
        <v>270</v>
      </c>
      <c r="Z176" s="29">
        <v>323</v>
      </c>
      <c r="AA176" s="29">
        <f t="shared" si="139"/>
        <v>427</v>
      </c>
      <c r="AB176" s="29">
        <v>352</v>
      </c>
      <c r="AC176" s="29">
        <v>376</v>
      </c>
      <c r="AD176" s="29">
        <v>377</v>
      </c>
      <c r="AE176" s="26">
        <f t="shared" si="140"/>
        <v>473</v>
      </c>
      <c r="AF176" s="29">
        <v>363</v>
      </c>
      <c r="AG176" s="29">
        <v>400</v>
      </c>
      <c r="AH176" s="29">
        <v>401</v>
      </c>
      <c r="AI176" s="29">
        <f t="shared" si="141"/>
        <v>510</v>
      </c>
      <c r="AJ176" s="29">
        <v>401</v>
      </c>
      <c r="AK176" s="29">
        <v>391</v>
      </c>
      <c r="AL176" s="29">
        <v>402</v>
      </c>
      <c r="AM176" s="26">
        <v>493</v>
      </c>
      <c r="AN176" s="29">
        <v>367</v>
      </c>
      <c r="AO176" s="29">
        <v>402</v>
      </c>
      <c r="AP176" s="29">
        <v>401</v>
      </c>
      <c r="AQ176" s="29">
        <v>532</v>
      </c>
      <c r="AR176" s="29">
        <v>395</v>
      </c>
      <c r="AS176" s="29">
        <f>428.3</f>
        <v>428.3</v>
      </c>
      <c r="AT176" s="29">
        <f>426-1</f>
        <v>425</v>
      </c>
      <c r="AU176" s="29">
        <v>547.70000000000005</v>
      </c>
      <c r="AV176"/>
      <c r="AW176" t="s">
        <v>172</v>
      </c>
      <c r="AX176"/>
      <c r="AY176"/>
      <c r="AZ176"/>
      <c r="BA176"/>
      <c r="BB176" s="7" t="s">
        <v>200</v>
      </c>
      <c r="BC176" s="34">
        <f t="shared" si="133"/>
        <v>1702</v>
      </c>
      <c r="BD176" s="34">
        <f t="shared" si="134"/>
        <v>1796</v>
      </c>
      <c r="BE176" s="35">
        <f t="shared" si="135"/>
        <v>5.5229142185663924E-2</v>
      </c>
      <c r="BF176" s="35">
        <f t="shared" si="136"/>
        <v>6.43382589006809E-2</v>
      </c>
    </row>
    <row r="177" spans="1:58" ht="18" customHeight="1" thickBot="1" x14ac:dyDescent="0.35">
      <c r="B177" s="6" t="s">
        <v>77</v>
      </c>
      <c r="C177" s="54">
        <f t="shared" ref="C177:I177" si="142">SUM(C174:C176)</f>
        <v>5688</v>
      </c>
      <c r="D177" s="54">
        <f t="shared" si="142"/>
        <v>5597</v>
      </c>
      <c r="E177" s="54">
        <f t="shared" si="142"/>
        <v>5652</v>
      </c>
      <c r="F177" s="54">
        <f t="shared" si="142"/>
        <v>6584</v>
      </c>
      <c r="G177" s="54">
        <f t="shared" si="142"/>
        <v>6842</v>
      </c>
      <c r="H177" s="54">
        <f t="shared" si="142"/>
        <v>7076</v>
      </c>
      <c r="I177" s="54">
        <f t="shared" si="142"/>
        <v>7549</v>
      </c>
      <c r="J177" s="54">
        <f t="shared" ref="J177" si="143">SUM(J174:J176)</f>
        <v>8214</v>
      </c>
      <c r="O177" s="6" t="s">
        <v>77</v>
      </c>
      <c r="P177" s="53">
        <f t="shared" ref="P177:S177" si="144">SUM(P174:P176)</f>
        <v>1371</v>
      </c>
      <c r="Q177" s="53">
        <f t="shared" si="144"/>
        <v>1368</v>
      </c>
      <c r="R177" s="53">
        <f t="shared" si="144"/>
        <v>1391</v>
      </c>
      <c r="S177" s="53">
        <f t="shared" si="144"/>
        <v>1558</v>
      </c>
      <c r="T177" s="53">
        <f>SUM(T174:T176)</f>
        <v>1254</v>
      </c>
      <c r="U177" s="53">
        <f t="shared" ref="U177:AU177" si="145">SUM(U174:U176)</f>
        <v>1310</v>
      </c>
      <c r="V177" s="53">
        <f t="shared" si="145"/>
        <v>1339</v>
      </c>
      <c r="W177" s="53">
        <f t="shared" si="145"/>
        <v>1694</v>
      </c>
      <c r="X177" s="53">
        <f t="shared" si="145"/>
        <v>1263</v>
      </c>
      <c r="Y177" s="53">
        <f t="shared" si="145"/>
        <v>1198</v>
      </c>
      <c r="Z177" s="53">
        <f t="shared" si="145"/>
        <v>1448</v>
      </c>
      <c r="AA177" s="53">
        <f t="shared" si="145"/>
        <v>1743</v>
      </c>
      <c r="AB177" s="53">
        <f t="shared" si="145"/>
        <v>1486</v>
      </c>
      <c r="AC177" s="53">
        <f t="shared" si="145"/>
        <v>1602</v>
      </c>
      <c r="AD177" s="53">
        <f t="shared" si="145"/>
        <v>1606</v>
      </c>
      <c r="AE177" s="53">
        <f t="shared" si="145"/>
        <v>1890</v>
      </c>
      <c r="AF177" s="53">
        <f t="shared" si="145"/>
        <v>1547</v>
      </c>
      <c r="AG177" s="53">
        <f t="shared" si="145"/>
        <v>1636</v>
      </c>
      <c r="AH177" s="53">
        <f t="shared" si="145"/>
        <v>1640</v>
      </c>
      <c r="AI177" s="53">
        <f t="shared" si="145"/>
        <v>2019</v>
      </c>
      <c r="AJ177" s="53">
        <f t="shared" si="145"/>
        <v>1645</v>
      </c>
      <c r="AK177" s="53">
        <f t="shared" si="145"/>
        <v>1687</v>
      </c>
      <c r="AL177" s="53">
        <f t="shared" si="145"/>
        <v>1708</v>
      </c>
      <c r="AM177" s="53">
        <f t="shared" si="145"/>
        <v>2036</v>
      </c>
      <c r="AN177" s="53">
        <f t="shared" si="145"/>
        <v>1598</v>
      </c>
      <c r="AO177" s="53">
        <f t="shared" si="145"/>
        <v>1763</v>
      </c>
      <c r="AP177" s="53">
        <f t="shared" si="145"/>
        <v>1826</v>
      </c>
      <c r="AQ177" s="53">
        <f t="shared" si="145"/>
        <v>2362</v>
      </c>
      <c r="AR177" s="53">
        <f t="shared" si="145"/>
        <v>1787</v>
      </c>
      <c r="AS177" s="53">
        <f t="shared" si="145"/>
        <v>1932.6</v>
      </c>
      <c r="AT177" s="53">
        <f t="shared" si="145"/>
        <v>1979</v>
      </c>
      <c r="AU177" s="53">
        <f t="shared" si="145"/>
        <v>2515.3999999999996</v>
      </c>
      <c r="AV177"/>
      <c r="AW177" s="6" t="s">
        <v>77</v>
      </c>
      <c r="AX177"/>
      <c r="AY177"/>
      <c r="AZ177"/>
      <c r="BA177"/>
      <c r="BB177"/>
      <c r="BC177" s="84"/>
      <c r="BD177"/>
    </row>
    <row r="178" spans="1:58" ht="18" customHeight="1" thickTop="1" x14ac:dyDescent="0.3">
      <c r="B178" s="79" t="s">
        <v>174</v>
      </c>
      <c r="AI178"/>
      <c r="AJ178"/>
      <c r="AK178"/>
      <c r="AL178"/>
      <c r="AM178"/>
      <c r="AN178"/>
      <c r="AO178"/>
      <c r="AP178"/>
      <c r="AQ178"/>
      <c r="AR178"/>
      <c r="AS178"/>
      <c r="AT178"/>
      <c r="AU178"/>
      <c r="AV178"/>
      <c r="AW178" s="79" t="s">
        <v>174</v>
      </c>
      <c r="AX178"/>
      <c r="AY178"/>
      <c r="AZ178"/>
      <c r="BA178"/>
      <c r="BB178"/>
      <c r="BC178" s="84"/>
      <c r="BD178"/>
    </row>
    <row r="179" spans="1:58" x14ac:dyDescent="0.3">
      <c r="B179" s="7" t="s">
        <v>175</v>
      </c>
      <c r="AI179"/>
      <c r="AJ179"/>
      <c r="AK179"/>
      <c r="AL179"/>
      <c r="AM179"/>
      <c r="AN179"/>
      <c r="AO179"/>
      <c r="AP179"/>
      <c r="AQ179"/>
      <c r="AR179"/>
      <c r="AS179"/>
      <c r="AT179"/>
      <c r="AU179"/>
      <c r="AV179"/>
      <c r="AW179" s="7" t="s">
        <v>175</v>
      </c>
      <c r="AX179"/>
      <c r="AY179"/>
      <c r="AZ179"/>
      <c r="BA179"/>
      <c r="BB179"/>
      <c r="BC179"/>
      <c r="BD179"/>
    </row>
    <row r="180" spans="1:58" x14ac:dyDescent="0.3">
      <c r="AI180"/>
      <c r="AJ180"/>
      <c r="AK180"/>
      <c r="AL180"/>
      <c r="AM180"/>
      <c r="AN180"/>
      <c r="AO180"/>
      <c r="AP180"/>
      <c r="AQ180"/>
      <c r="AR180"/>
      <c r="AS180"/>
      <c r="AT180"/>
      <c r="AU180"/>
      <c r="AV180"/>
      <c r="AW180" s="79"/>
      <c r="AX180"/>
      <c r="AY180"/>
      <c r="AZ180"/>
      <c r="BA180"/>
      <c r="BB180"/>
      <c r="BC180"/>
      <c r="BD180"/>
    </row>
    <row r="181" spans="1:58" x14ac:dyDescent="0.3">
      <c r="AI181"/>
      <c r="AJ181"/>
      <c r="AK181"/>
      <c r="AL181"/>
      <c r="AM181"/>
      <c r="AN181" s="16"/>
      <c r="AO181"/>
      <c r="AP181"/>
      <c r="AQ181"/>
      <c r="AR181"/>
      <c r="AS181"/>
      <c r="AT181"/>
      <c r="AU181"/>
      <c r="AV181"/>
      <c r="AW181" s="51"/>
      <c r="AX181"/>
      <c r="AY181"/>
      <c r="AZ181"/>
      <c r="BB181"/>
      <c r="BC181"/>
      <c r="BD181"/>
    </row>
    <row r="182" spans="1:58" s="7" customFormat="1" ht="18" customHeight="1" x14ac:dyDescent="0.3">
      <c r="A182" s="6" t="s">
        <v>201</v>
      </c>
      <c r="C182" s="8">
        <v>2018</v>
      </c>
      <c r="D182" s="8">
        <v>2019</v>
      </c>
      <c r="E182" s="8">
        <v>2020</v>
      </c>
      <c r="F182" s="72">
        <v>2021</v>
      </c>
      <c r="G182" s="10">
        <v>2022</v>
      </c>
      <c r="H182" s="11">
        <v>2023</v>
      </c>
      <c r="I182" s="12">
        <v>2024</v>
      </c>
      <c r="J182" s="13">
        <v>2025</v>
      </c>
      <c r="K182" s="86"/>
      <c r="L182" s="86"/>
      <c r="M182" s="86"/>
      <c r="N182" s="6" t="s">
        <v>201</v>
      </c>
      <c r="P182" s="87" t="s">
        <v>125</v>
      </c>
      <c r="Q182" s="87" t="s">
        <v>126</v>
      </c>
      <c r="R182" s="87" t="s">
        <v>9</v>
      </c>
      <c r="S182" s="17" t="s">
        <v>202</v>
      </c>
      <c r="T182" s="16" t="s">
        <v>203</v>
      </c>
      <c r="U182" s="16" t="s">
        <v>204</v>
      </c>
      <c r="V182" s="16" t="s">
        <v>205</v>
      </c>
      <c r="W182" s="17" t="s">
        <v>102</v>
      </c>
      <c r="X182" s="16" t="s">
        <v>103</v>
      </c>
      <c r="Y182" s="16" t="s">
        <v>104</v>
      </c>
      <c r="Z182" s="16" t="s">
        <v>206</v>
      </c>
      <c r="AA182" s="17" t="s">
        <v>207</v>
      </c>
      <c r="AB182" s="16" t="s">
        <v>107</v>
      </c>
      <c r="AC182" s="16" t="s">
        <v>208</v>
      </c>
      <c r="AD182" s="16" t="s">
        <v>209</v>
      </c>
      <c r="AE182" s="17" t="s">
        <v>110</v>
      </c>
      <c r="AF182" s="16" t="s">
        <v>210</v>
      </c>
      <c r="AG182" s="16" t="s">
        <v>211</v>
      </c>
      <c r="AH182" s="16" t="s">
        <v>212</v>
      </c>
      <c r="AI182" s="17" t="s">
        <v>114</v>
      </c>
      <c r="AJ182" s="16" t="s">
        <v>213</v>
      </c>
      <c r="AK182" s="16" t="s">
        <v>214</v>
      </c>
      <c r="AL182" s="16" t="s">
        <v>215</v>
      </c>
      <c r="AM182" s="17" t="s">
        <v>216</v>
      </c>
      <c r="AN182" s="16" t="s">
        <v>217</v>
      </c>
      <c r="AO182" s="16" t="s">
        <v>218</v>
      </c>
      <c r="AP182" s="16" t="s">
        <v>219</v>
      </c>
      <c r="AQ182" s="17" t="s">
        <v>119</v>
      </c>
      <c r="AR182" s="16" t="s">
        <v>220</v>
      </c>
      <c r="AS182" s="16" t="s">
        <v>221</v>
      </c>
      <c r="AT182" s="16" t="s">
        <v>127</v>
      </c>
      <c r="AU182" s="17" t="s">
        <v>122</v>
      </c>
      <c r="AV182" s="2"/>
      <c r="AW182" s="6" t="s">
        <v>201</v>
      </c>
      <c r="AZ182" s="8"/>
      <c r="BB182" s="8"/>
      <c r="BC182" s="20" t="s">
        <v>123</v>
      </c>
      <c r="BD182" s="20" t="s">
        <v>39</v>
      </c>
      <c r="BE182" s="20" t="s">
        <v>41</v>
      </c>
      <c r="BF182" s="20" t="s">
        <v>42</v>
      </c>
    </row>
    <row r="183" spans="1:58" s="7" customFormat="1" ht="18" customHeight="1" x14ac:dyDescent="0.3">
      <c r="A183" s="24" t="s">
        <v>43</v>
      </c>
      <c r="B183" s="7" t="s">
        <v>44</v>
      </c>
      <c r="C183" s="30">
        <v>2332</v>
      </c>
      <c r="D183" s="30">
        <v>2483</v>
      </c>
      <c r="E183" s="30">
        <v>1983</v>
      </c>
      <c r="F183" s="62">
        <v>2927.53</v>
      </c>
      <c r="G183" s="62">
        <v>3303.1559999999999</v>
      </c>
      <c r="H183" s="36">
        <v>3439.5</v>
      </c>
      <c r="I183" s="36">
        <v>3581.6930000000002</v>
      </c>
      <c r="J183" s="27">
        <v>3751.82</v>
      </c>
      <c r="K183" s="36"/>
      <c r="L183" s="36"/>
      <c r="M183" s="36"/>
      <c r="N183" s="24" t="s">
        <v>43</v>
      </c>
      <c r="O183" s="7" t="s">
        <v>44</v>
      </c>
      <c r="P183" s="29">
        <v>585</v>
      </c>
      <c r="Q183" s="29">
        <v>587</v>
      </c>
      <c r="R183" s="29">
        <v>575</v>
      </c>
      <c r="S183" s="30">
        <v>567.58000000000004</v>
      </c>
      <c r="T183" s="30">
        <v>599.48</v>
      </c>
      <c r="U183" s="30">
        <v>602.64</v>
      </c>
      <c r="V183" s="30">
        <v>586.54</v>
      </c>
      <c r="W183" s="30">
        <v>694.03</v>
      </c>
      <c r="X183" s="30">
        <v>615.11</v>
      </c>
      <c r="Y183" s="30">
        <v>295.85000000000002</v>
      </c>
      <c r="Z183" s="30">
        <v>517.72</v>
      </c>
      <c r="AA183" s="30">
        <v>554.54999999999995</v>
      </c>
      <c r="AB183" s="30">
        <v>627.41999999999996</v>
      </c>
      <c r="AC183" s="30">
        <f>1396.37-AB183</f>
        <v>768.94999999999993</v>
      </c>
      <c r="AD183" s="30">
        <v>754.47</v>
      </c>
      <c r="AE183" s="30">
        <v>776.69</v>
      </c>
      <c r="AF183" s="30">
        <v>793.71</v>
      </c>
      <c r="AG183" s="30">
        <v>832.64</v>
      </c>
      <c r="AH183" s="30">
        <v>784.00099999999998</v>
      </c>
      <c r="AI183" s="30">
        <v>892.80500000000029</v>
      </c>
      <c r="AJ183" s="30">
        <v>866.11</v>
      </c>
      <c r="AK183" s="30">
        <v>866.17</v>
      </c>
      <c r="AL183" s="30">
        <v>830.21</v>
      </c>
      <c r="AM183" s="30">
        <v>877.01</v>
      </c>
      <c r="AN183" s="30">
        <v>891.22299999999996</v>
      </c>
      <c r="AO183" s="30">
        <v>904.04</v>
      </c>
      <c r="AP183" s="30">
        <v>865.47</v>
      </c>
      <c r="AQ183" s="30">
        <v>920.96</v>
      </c>
      <c r="AR183" s="30">
        <v>927.2</v>
      </c>
      <c r="AS183" s="30">
        <v>955.83</v>
      </c>
      <c r="AT183" s="30">
        <v>907.23</v>
      </c>
      <c r="AU183" s="30">
        <v>961.56</v>
      </c>
      <c r="AW183" s="32" t="s">
        <v>44</v>
      </c>
      <c r="AX183" s="32" t="s">
        <v>43</v>
      </c>
      <c r="AZ183" s="32"/>
      <c r="BB183" s="32" t="s">
        <v>222</v>
      </c>
      <c r="BC183" s="34">
        <f>SUM(AN183:AQ183)</f>
        <v>3581.6930000000002</v>
      </c>
      <c r="BD183" s="34">
        <f>SUM(AR183:AU183)</f>
        <v>3751.82</v>
      </c>
      <c r="BE183" s="35">
        <f>(BD183-BC183)/ABS(BC183)</f>
        <v>4.7499045842287417E-2</v>
      </c>
      <c r="BF183" s="35">
        <f>(AU183/AP183)^(1/5)-1</f>
        <v>2.1280110498308247E-2</v>
      </c>
    </row>
    <row r="184" spans="1:58" x14ac:dyDescent="0.3">
      <c r="P184" s="88"/>
      <c r="Q184" s="88"/>
      <c r="R184" s="88"/>
      <c r="AI184"/>
      <c r="AJ184"/>
      <c r="AK184"/>
      <c r="AL184"/>
      <c r="AM184"/>
      <c r="AN184"/>
      <c r="AO184"/>
      <c r="AP184"/>
      <c r="AQ184"/>
      <c r="AR184"/>
      <c r="AS184"/>
      <c r="AT184"/>
      <c r="AU184" s="51"/>
      <c r="AV184"/>
      <c r="AW184" s="51"/>
      <c r="AX184" s="51"/>
      <c r="AY184"/>
      <c r="AZ184"/>
      <c r="BB184"/>
      <c r="BC184"/>
      <c r="BD184"/>
    </row>
    <row r="185" spans="1:58" s="7" customFormat="1" ht="18" customHeight="1" x14ac:dyDescent="0.3">
      <c r="A185" s="6" t="s">
        <v>223</v>
      </c>
      <c r="C185" s="8">
        <v>2018</v>
      </c>
      <c r="D185" s="8">
        <v>2019</v>
      </c>
      <c r="E185" s="8">
        <v>2020</v>
      </c>
      <c r="F185" s="9">
        <v>2021</v>
      </c>
      <c r="G185" s="10">
        <v>2022</v>
      </c>
      <c r="H185" s="11">
        <v>2023</v>
      </c>
      <c r="I185" s="12">
        <v>2024</v>
      </c>
      <c r="J185" s="13">
        <v>2025</v>
      </c>
      <c r="K185" s="14" t="s">
        <v>6</v>
      </c>
      <c r="L185" s="89"/>
      <c r="M185" s="89"/>
      <c r="N185" s="6" t="s">
        <v>223</v>
      </c>
      <c r="P185" s="90" t="s">
        <v>224</v>
      </c>
      <c r="Q185" s="91" t="s">
        <v>225</v>
      </c>
      <c r="R185" s="90" t="s">
        <v>226</v>
      </c>
      <c r="S185" s="16" t="s">
        <v>227</v>
      </c>
      <c r="T185" s="16" t="s">
        <v>228</v>
      </c>
      <c r="U185" s="17" t="s">
        <v>229</v>
      </c>
      <c r="V185" s="16" t="s">
        <v>230</v>
      </c>
      <c r="W185" s="16" t="s">
        <v>231</v>
      </c>
      <c r="X185" s="16" t="s">
        <v>232</v>
      </c>
      <c r="Y185" s="17" t="s">
        <v>233</v>
      </c>
      <c r="Z185" s="16" t="s">
        <v>234</v>
      </c>
      <c r="AA185" s="16" t="s">
        <v>235</v>
      </c>
      <c r="AB185" s="16" t="s">
        <v>236</v>
      </c>
      <c r="AC185" s="17" t="s">
        <v>237</v>
      </c>
      <c r="AD185" s="16" t="s">
        <v>238</v>
      </c>
      <c r="AE185" s="16" t="s">
        <v>239</v>
      </c>
      <c r="AF185" s="16" t="s">
        <v>240</v>
      </c>
      <c r="AG185" s="17" t="s">
        <v>241</v>
      </c>
      <c r="AH185" s="16" t="s">
        <v>242</v>
      </c>
      <c r="AI185" s="16" t="s">
        <v>243</v>
      </c>
      <c r="AJ185" s="16" t="s">
        <v>244</v>
      </c>
      <c r="AK185" s="17" t="s">
        <v>245</v>
      </c>
      <c r="AL185" s="16" t="s">
        <v>246</v>
      </c>
      <c r="AM185" s="16" t="s">
        <v>247</v>
      </c>
      <c r="AN185" s="16" t="s">
        <v>248</v>
      </c>
      <c r="AO185" s="17" t="s">
        <v>249</v>
      </c>
      <c r="AP185" s="16" t="s">
        <v>250</v>
      </c>
      <c r="AQ185" s="16" t="s">
        <v>251</v>
      </c>
      <c r="AR185" s="16" t="s">
        <v>252</v>
      </c>
      <c r="AS185" s="17" t="s">
        <v>253</v>
      </c>
      <c r="AT185" s="16" t="s">
        <v>254</v>
      </c>
      <c r="AU185" s="16" t="s">
        <v>255</v>
      </c>
      <c r="AV185" s="16"/>
      <c r="AW185" s="6" t="s">
        <v>223</v>
      </c>
      <c r="AX185" s="32"/>
      <c r="AZ185" s="8"/>
      <c r="BB185" s="92"/>
      <c r="BC185" s="20" t="s">
        <v>39</v>
      </c>
      <c r="BD185" s="20" t="s">
        <v>40</v>
      </c>
      <c r="BE185" s="20" t="s">
        <v>41</v>
      </c>
      <c r="BF185" s="20" t="s">
        <v>42</v>
      </c>
    </row>
    <row r="186" spans="1:58" s="7" customFormat="1" ht="18" customHeight="1" x14ac:dyDescent="0.3">
      <c r="A186" s="24" t="s">
        <v>43</v>
      </c>
      <c r="B186" s="7" t="s">
        <v>44</v>
      </c>
      <c r="C186" s="50">
        <v>8080</v>
      </c>
      <c r="D186" s="50">
        <v>8510</v>
      </c>
      <c r="E186" s="50">
        <v>7806</v>
      </c>
      <c r="F186" s="50">
        <v>7196</v>
      </c>
      <c r="G186" s="27">
        <v>9630.1</v>
      </c>
      <c r="H186" s="27">
        <v>10487.8</v>
      </c>
      <c r="I186" s="36">
        <v>11390</v>
      </c>
      <c r="J186" s="27">
        <v>12076.7</v>
      </c>
      <c r="K186" s="93">
        <v>12576.5</v>
      </c>
      <c r="L186" s="36"/>
      <c r="M186" s="36"/>
      <c r="N186" s="24" t="s">
        <v>43</v>
      </c>
      <c r="O186" s="7" t="s">
        <v>44</v>
      </c>
      <c r="P186" s="29">
        <v>2128</v>
      </c>
      <c r="Q186" s="29">
        <v>2134</v>
      </c>
      <c r="R186" s="29">
        <v>2061</v>
      </c>
      <c r="S186" s="7">
        <v>1973</v>
      </c>
      <c r="T186" s="30">
        <v>2250</v>
      </c>
      <c r="U186" s="29">
        <v>2229.1</v>
      </c>
      <c r="V186" s="29">
        <v>2133.9</v>
      </c>
      <c r="W186" s="29">
        <v>2056.4</v>
      </c>
      <c r="X186" s="29">
        <v>2346.5</v>
      </c>
      <c r="Y186" s="29">
        <v>1270.0999999999999</v>
      </c>
      <c r="Z186" s="29">
        <v>1527.4</v>
      </c>
      <c r="AA186" s="29">
        <v>1656.5</v>
      </c>
      <c r="AB186" s="29">
        <v>1733</v>
      </c>
      <c r="AC186" s="29">
        <v>2279.1999999999998</v>
      </c>
      <c r="AD186" s="29">
        <v>2306</v>
      </c>
      <c r="AE186" s="29">
        <v>2272.1999999999998</v>
      </c>
      <c r="AF186" s="7">
        <v>2448.9</v>
      </c>
      <c r="AG186" s="29">
        <v>2603</v>
      </c>
      <c r="AH186" s="29">
        <v>2446.1</v>
      </c>
      <c r="AI186" s="29">
        <v>2486.5</v>
      </c>
      <c r="AJ186" s="7">
        <v>2786.2</v>
      </c>
      <c r="AK186" s="29">
        <v>2768.9999999999991</v>
      </c>
      <c r="AL186" s="29">
        <v>2730.6</v>
      </c>
      <c r="AM186" s="29">
        <v>2727.3</v>
      </c>
      <c r="AN186" s="29">
        <v>2974.8</v>
      </c>
      <c r="AO186" s="29">
        <v>2957.3</v>
      </c>
      <c r="AP186" s="29">
        <v>2757</v>
      </c>
      <c r="AQ186" s="29">
        <v>2890</v>
      </c>
      <c r="AR186" s="29">
        <v>3158</v>
      </c>
      <c r="AS186" s="29">
        <v>3271.7</v>
      </c>
      <c r="AT186" s="29">
        <v>3044.7</v>
      </c>
      <c r="AU186" s="29">
        <v>3102.1</v>
      </c>
      <c r="AW186" s="32" t="s">
        <v>44</v>
      </c>
      <c r="AX186" s="32" t="s">
        <v>43</v>
      </c>
      <c r="AZ186" s="94"/>
      <c r="BB186" s="94" t="s">
        <v>256</v>
      </c>
      <c r="BC186" s="34">
        <f>SUM(AN186:AQ186)</f>
        <v>11579.1</v>
      </c>
      <c r="BD186" s="34">
        <f>SUM(AR186:AU186)</f>
        <v>12576.5</v>
      </c>
      <c r="BE186" s="35">
        <f>(BD186-BC186)/ABS(BC186)</f>
        <v>8.6137955454223522E-2</v>
      </c>
      <c r="BF186" s="35">
        <f>(AU186/AP186)^(1/5)-1</f>
        <v>2.3867612807679794E-2</v>
      </c>
    </row>
    <row r="187" spans="1:58" x14ac:dyDescent="0.3">
      <c r="J187" s="30"/>
      <c r="P187" s="95"/>
      <c r="Q187" s="95"/>
      <c r="R187" s="95"/>
      <c r="AI187"/>
      <c r="AJ187"/>
      <c r="AK187"/>
      <c r="AL187"/>
      <c r="AM187"/>
      <c r="AN187"/>
      <c r="AO187"/>
      <c r="AP187"/>
      <c r="AQ187"/>
      <c r="AR187"/>
      <c r="AS187"/>
      <c r="AT187"/>
      <c r="AU187"/>
      <c r="AV187"/>
      <c r="AW187" s="51"/>
      <c r="AX187" s="51"/>
      <c r="AY187"/>
      <c r="AZ187"/>
      <c r="BB187"/>
      <c r="BC187"/>
      <c r="BD187"/>
    </row>
    <row r="188" spans="1:58" s="7" customFormat="1" ht="18" customHeight="1" x14ac:dyDescent="0.3">
      <c r="A188" s="6" t="s">
        <v>257</v>
      </c>
      <c r="C188" s="8">
        <v>2018</v>
      </c>
      <c r="D188" s="8">
        <v>2019</v>
      </c>
      <c r="E188" s="8">
        <v>2020</v>
      </c>
      <c r="F188" s="72">
        <v>2021</v>
      </c>
      <c r="G188" s="10">
        <v>2022</v>
      </c>
      <c r="H188" s="11">
        <v>2023</v>
      </c>
      <c r="I188" s="12">
        <v>2024</v>
      </c>
      <c r="J188" s="13">
        <v>2025</v>
      </c>
      <c r="K188" s="86"/>
      <c r="L188" s="86"/>
      <c r="M188" s="86"/>
      <c r="N188" s="6" t="s">
        <v>257</v>
      </c>
      <c r="P188" s="90" t="s">
        <v>125</v>
      </c>
      <c r="Q188" s="90" t="s">
        <v>126</v>
      </c>
      <c r="R188" s="90" t="s">
        <v>9</v>
      </c>
      <c r="S188" s="17" t="s">
        <v>100</v>
      </c>
      <c r="T188" s="16" t="s">
        <v>11</v>
      </c>
      <c r="U188" s="16" t="s">
        <v>12</v>
      </c>
      <c r="V188" s="16" t="s">
        <v>101</v>
      </c>
      <c r="W188" s="17" t="s">
        <v>102</v>
      </c>
      <c r="X188" s="16" t="s">
        <v>103</v>
      </c>
      <c r="Y188" s="16" t="s">
        <v>104</v>
      </c>
      <c r="Z188" s="16" t="s">
        <v>105</v>
      </c>
      <c r="AA188" s="17" t="s">
        <v>106</v>
      </c>
      <c r="AB188" s="16" t="s">
        <v>107</v>
      </c>
      <c r="AC188" s="16" t="s">
        <v>108</v>
      </c>
      <c r="AD188" s="16" t="s">
        <v>109</v>
      </c>
      <c r="AE188" s="17" t="s">
        <v>110</v>
      </c>
      <c r="AF188" s="16" t="s">
        <v>111</v>
      </c>
      <c r="AG188" s="16" t="s">
        <v>112</v>
      </c>
      <c r="AH188" s="16" t="s">
        <v>113</v>
      </c>
      <c r="AI188" s="17" t="s">
        <v>114</v>
      </c>
      <c r="AJ188" s="16" t="s">
        <v>115</v>
      </c>
      <c r="AK188" s="16" t="s">
        <v>116</v>
      </c>
      <c r="AL188" s="16" t="s">
        <v>117</v>
      </c>
      <c r="AM188" s="17" t="s">
        <v>30</v>
      </c>
      <c r="AN188" s="16" t="s">
        <v>31</v>
      </c>
      <c r="AO188" s="16" t="s">
        <v>32</v>
      </c>
      <c r="AP188" s="16" t="s">
        <v>118</v>
      </c>
      <c r="AQ188" s="17" t="s">
        <v>119</v>
      </c>
      <c r="AR188" s="16" t="s">
        <v>120</v>
      </c>
      <c r="AS188" s="16" t="s">
        <v>121</v>
      </c>
      <c r="AT188" s="16" t="s">
        <v>118</v>
      </c>
      <c r="AU188" s="17" t="s">
        <v>122</v>
      </c>
      <c r="AV188" s="16"/>
      <c r="AW188" s="6" t="s">
        <v>257</v>
      </c>
      <c r="AX188" s="32"/>
      <c r="AZ188" s="92"/>
      <c r="BB188" s="8"/>
      <c r="BC188" s="20" t="s">
        <v>123</v>
      </c>
      <c r="BD188" s="20" t="s">
        <v>39</v>
      </c>
      <c r="BE188" s="20" t="s">
        <v>41</v>
      </c>
      <c r="BF188" s="20" t="s">
        <v>42</v>
      </c>
    </row>
    <row r="189" spans="1:58" s="7" customFormat="1" ht="18" customHeight="1" x14ac:dyDescent="0.3">
      <c r="A189" s="24" t="s">
        <v>43</v>
      </c>
      <c r="B189" s="7" t="s">
        <v>44</v>
      </c>
      <c r="C189" s="50">
        <v>4865</v>
      </c>
      <c r="D189" s="50">
        <v>5586</v>
      </c>
      <c r="E189" s="50">
        <v>5985</v>
      </c>
      <c r="F189" s="62">
        <v>7547.07</v>
      </c>
      <c r="G189" s="62">
        <v>8634.66</v>
      </c>
      <c r="H189" s="62">
        <v>9871.65</v>
      </c>
      <c r="I189" s="36">
        <v>11313.859999999999</v>
      </c>
      <c r="J189" s="27">
        <v>11715.73</v>
      </c>
      <c r="K189" s="36"/>
      <c r="L189" s="36"/>
      <c r="M189" s="36"/>
      <c r="N189" s="24" t="s">
        <v>43</v>
      </c>
      <c r="O189" s="7" t="s">
        <v>44</v>
      </c>
      <c r="P189" s="29">
        <v>1148</v>
      </c>
      <c r="Q189" s="29">
        <v>1267</v>
      </c>
      <c r="R189" s="29">
        <v>1225</v>
      </c>
      <c r="S189" s="29">
        <v>1230</v>
      </c>
      <c r="T189" s="29">
        <v>1308.22</v>
      </c>
      <c r="U189" s="29">
        <v>1434.23</v>
      </c>
      <c r="V189" s="29">
        <v>1403.7</v>
      </c>
      <c r="W189" s="29">
        <v>1440.22</v>
      </c>
      <c r="X189" s="29">
        <v>1410.77</v>
      </c>
      <c r="Y189" s="29">
        <v>1364.74</v>
      </c>
      <c r="Z189" s="29">
        <v>1601.41</v>
      </c>
      <c r="AA189" s="29">
        <v>1607.71</v>
      </c>
      <c r="AB189" s="29">
        <v>1741.58</v>
      </c>
      <c r="AC189" s="29">
        <v>1892.54</v>
      </c>
      <c r="AD189" s="29">
        <v>1952.32</v>
      </c>
      <c r="AE189" s="29">
        <v>1960.63</v>
      </c>
      <c r="AF189" s="29">
        <v>2020.54</v>
      </c>
      <c r="AG189" s="29">
        <v>2213.34</v>
      </c>
      <c r="AH189" s="29">
        <v>2220.1799999999998</v>
      </c>
      <c r="AI189" s="29">
        <v>2180.6</v>
      </c>
      <c r="AJ189" s="29">
        <v>2368.58</v>
      </c>
      <c r="AK189" s="29">
        <v>2514.8000000000002</v>
      </c>
      <c r="AL189" s="29">
        <v>2471.9499999999998</v>
      </c>
      <c r="AM189" s="29">
        <v>2516.3200000000002</v>
      </c>
      <c r="AN189" s="29">
        <v>2701.85</v>
      </c>
      <c r="AO189" s="29">
        <v>2973.12</v>
      </c>
      <c r="AP189" s="29">
        <v>2793.58</v>
      </c>
      <c r="AQ189" s="29">
        <v>2845.31</v>
      </c>
      <c r="AR189" s="29">
        <v>2875.25</v>
      </c>
      <c r="AS189" s="29">
        <v>3063.39</v>
      </c>
      <c r="AT189" s="29">
        <v>2793.58</v>
      </c>
      <c r="AU189" s="29">
        <v>2983.51</v>
      </c>
      <c r="AV189" s="29"/>
      <c r="AW189" s="32" t="s">
        <v>44</v>
      </c>
      <c r="AX189" s="32" t="s">
        <v>43</v>
      </c>
      <c r="AZ189" s="32"/>
      <c r="BB189" s="32" t="s">
        <v>258</v>
      </c>
      <c r="BC189" s="34">
        <f>SUM(AN189:AQ189)</f>
        <v>11313.859999999999</v>
      </c>
      <c r="BD189" s="34">
        <f>SUM(AR189:AU189)</f>
        <v>11715.73</v>
      </c>
      <c r="BE189" s="35">
        <f>(BD189-BC189)/ABS(BC189)</f>
        <v>3.5520149621791397E-2</v>
      </c>
      <c r="BF189" s="35">
        <f>(AU189/AP189)^(1/5)-1</f>
        <v>1.3242218207991874E-2</v>
      </c>
    </row>
    <row r="190" spans="1:58" x14ac:dyDescent="0.3">
      <c r="J190" s="30"/>
      <c r="P190" s="95"/>
      <c r="Q190" s="95"/>
      <c r="R190" s="95"/>
      <c r="AI190"/>
      <c r="AJ190"/>
      <c r="AK190"/>
      <c r="AL190"/>
      <c r="AM190"/>
      <c r="AN190"/>
      <c r="AO190"/>
      <c r="AP190"/>
      <c r="AQ190"/>
      <c r="AR190"/>
      <c r="AS190"/>
      <c r="AT190"/>
      <c r="AU190"/>
      <c r="AV190"/>
      <c r="AW190" s="51"/>
      <c r="AX190" s="51"/>
      <c r="AY190"/>
      <c r="AZ190"/>
      <c r="BB190"/>
      <c r="BC190"/>
      <c r="BD190"/>
    </row>
    <row r="191" spans="1:58" s="7" customFormat="1" ht="18" customHeight="1" x14ac:dyDescent="0.3">
      <c r="A191" s="6" t="s">
        <v>259</v>
      </c>
      <c r="C191" s="8">
        <v>2018</v>
      </c>
      <c r="D191" s="8">
        <v>2019</v>
      </c>
      <c r="E191" s="8">
        <v>2020</v>
      </c>
      <c r="F191" s="9">
        <v>2021</v>
      </c>
      <c r="G191" s="10">
        <v>2022</v>
      </c>
      <c r="H191" s="11">
        <v>2023</v>
      </c>
      <c r="I191" s="12">
        <v>2024</v>
      </c>
      <c r="J191" s="13">
        <v>2025</v>
      </c>
      <c r="K191" s="14" t="s">
        <v>6</v>
      </c>
      <c r="L191" s="89"/>
      <c r="M191" s="89"/>
      <c r="N191" s="6" t="s">
        <v>259</v>
      </c>
      <c r="P191" s="91" t="s">
        <v>224</v>
      </c>
      <c r="Q191" s="90" t="s">
        <v>225</v>
      </c>
      <c r="R191" s="90" t="s">
        <v>226</v>
      </c>
      <c r="S191" s="16" t="s">
        <v>227</v>
      </c>
      <c r="T191" s="17" t="s">
        <v>260</v>
      </c>
      <c r="U191" s="16" t="s">
        <v>261</v>
      </c>
      <c r="V191" s="16" t="s">
        <v>262</v>
      </c>
      <c r="W191" s="16" t="s">
        <v>263</v>
      </c>
      <c r="X191" s="16" t="s">
        <v>264</v>
      </c>
      <c r="Y191" s="16" t="s">
        <v>233</v>
      </c>
      <c r="Z191" s="16" t="s">
        <v>265</v>
      </c>
      <c r="AA191" s="16" t="s">
        <v>266</v>
      </c>
      <c r="AB191" s="17" t="s">
        <v>236</v>
      </c>
      <c r="AC191" s="16" t="s">
        <v>267</v>
      </c>
      <c r="AD191" s="16" t="s">
        <v>268</v>
      </c>
      <c r="AE191" s="16" t="s">
        <v>269</v>
      </c>
      <c r="AF191" s="17" t="s">
        <v>270</v>
      </c>
      <c r="AG191" s="16" t="s">
        <v>241</v>
      </c>
      <c r="AH191" s="16" t="s">
        <v>271</v>
      </c>
      <c r="AI191" s="96" t="s">
        <v>272</v>
      </c>
      <c r="AJ191" s="17" t="s">
        <v>273</v>
      </c>
      <c r="AK191" s="16" t="s">
        <v>245</v>
      </c>
      <c r="AL191" s="16" t="s">
        <v>274</v>
      </c>
      <c r="AM191" s="96" t="s">
        <v>275</v>
      </c>
      <c r="AN191" s="17" t="s">
        <v>276</v>
      </c>
      <c r="AO191" s="16" t="s">
        <v>277</v>
      </c>
      <c r="AP191" s="16" t="s">
        <v>278</v>
      </c>
      <c r="AQ191" s="96" t="s">
        <v>279</v>
      </c>
      <c r="AR191" s="17" t="s">
        <v>280</v>
      </c>
      <c r="AS191" s="16" t="s">
        <v>277</v>
      </c>
      <c r="AT191" s="16" t="s">
        <v>281</v>
      </c>
      <c r="AU191" s="96" t="s">
        <v>279</v>
      </c>
      <c r="AV191" s="96"/>
      <c r="AW191" s="6" t="s">
        <v>259</v>
      </c>
      <c r="AX191" s="32"/>
      <c r="AY191" s="20"/>
      <c r="AZ191" s="8"/>
      <c r="BB191" s="92"/>
      <c r="BC191" s="20" t="s">
        <v>39</v>
      </c>
      <c r="BD191" s="20" t="s">
        <v>40</v>
      </c>
      <c r="BE191" s="20" t="s">
        <v>41</v>
      </c>
      <c r="BF191" s="20" t="s">
        <v>42</v>
      </c>
    </row>
    <row r="192" spans="1:58" s="7" customFormat="1" ht="18" customHeight="1" x14ac:dyDescent="0.3">
      <c r="A192" s="24" t="s">
        <v>282</v>
      </c>
      <c r="B192" s="7" t="s">
        <v>44</v>
      </c>
      <c r="C192" s="50">
        <v>131182</v>
      </c>
      <c r="D192" s="50">
        <v>129216</v>
      </c>
      <c r="E192" s="50">
        <v>131193</v>
      </c>
      <c r="F192" s="50">
        <v>96141</v>
      </c>
      <c r="G192" s="27">
        <v>109363</v>
      </c>
      <c r="H192" s="27">
        <v>126864</v>
      </c>
      <c r="I192" s="27">
        <v>140629</v>
      </c>
      <c r="J192" s="27">
        <v>148822</v>
      </c>
      <c r="K192" s="93">
        <v>156128</v>
      </c>
      <c r="L192" s="36"/>
      <c r="M192" s="36"/>
      <c r="N192" s="24" t="s">
        <v>282</v>
      </c>
      <c r="O192" s="7" t="s">
        <v>44</v>
      </c>
      <c r="P192" s="29">
        <v>22077.872340425532</v>
      </c>
      <c r="Q192" s="29">
        <v>23612.666666666668</v>
      </c>
      <c r="R192" s="29">
        <v>24626.25</v>
      </c>
      <c r="S192" s="29">
        <v>31620</v>
      </c>
      <c r="T192" s="29">
        <v>31431</v>
      </c>
      <c r="U192" s="29">
        <v>32901</v>
      </c>
      <c r="V192" s="29">
        <v>34007</v>
      </c>
      <c r="W192" s="29">
        <v>32588</v>
      </c>
      <c r="X192" s="29">
        <v>31697</v>
      </c>
      <c r="Y192" s="29">
        <v>18902</v>
      </c>
      <c r="Z192" s="29">
        <v>25376</v>
      </c>
      <c r="AA192" s="29">
        <v>27181</v>
      </c>
      <c r="AB192" s="29">
        <v>24682</v>
      </c>
      <c r="AC192" s="29">
        <v>26541</v>
      </c>
      <c r="AD192" s="29">
        <v>27198</v>
      </c>
      <c r="AE192" s="29">
        <v>28167</v>
      </c>
      <c r="AF192" s="29">
        <v>27457</v>
      </c>
      <c r="AG192" s="29">
        <v>30540</v>
      </c>
      <c r="AH192" s="29">
        <v>31595</v>
      </c>
      <c r="AI192" s="29">
        <v>32324</v>
      </c>
      <c r="AJ192" s="29">
        <v>32405</v>
      </c>
      <c r="AK192" s="29">
        <v>35180</v>
      </c>
      <c r="AL192" s="29">
        <v>35785</v>
      </c>
      <c r="AM192" s="29">
        <v>35273</v>
      </c>
      <c r="AN192" s="29">
        <v>34391</v>
      </c>
      <c r="AO192" s="29">
        <v>36906</v>
      </c>
      <c r="AP192" s="29">
        <v>38357</v>
      </c>
      <c r="AQ192" s="29">
        <v>37168</v>
      </c>
      <c r="AR192" s="29">
        <v>36391</v>
      </c>
      <c r="AS192" s="29">
        <v>39315</v>
      </c>
      <c r="AT192" s="29">
        <v>40426</v>
      </c>
      <c r="AU192" s="29">
        <v>39996</v>
      </c>
      <c r="AV192" s="29"/>
      <c r="AW192" s="32" t="s">
        <v>44</v>
      </c>
      <c r="AX192" s="32" t="s">
        <v>282</v>
      </c>
      <c r="AY192" s="20"/>
      <c r="AZ192" s="32"/>
      <c r="BB192" s="94" t="s">
        <v>283</v>
      </c>
      <c r="BC192" s="34">
        <f>SUM(AN192:AQ192)</f>
        <v>146822</v>
      </c>
      <c r="BD192" s="34">
        <f>SUM(AR192:AU192)</f>
        <v>156128</v>
      </c>
      <c r="BE192" s="35">
        <f>(BD192-BC192)/ABS(BC192)</f>
        <v>6.3382871776709218E-2</v>
      </c>
      <c r="BF192" s="35">
        <f>(AU192/AP192)^(1/5)-1</f>
        <v>8.4035953484242754E-3</v>
      </c>
    </row>
    <row r="193" spans="1:73" x14ac:dyDescent="0.3">
      <c r="P193" s="95"/>
      <c r="Q193" s="95"/>
      <c r="R193" s="95"/>
      <c r="S193" s="95"/>
      <c r="AI193"/>
      <c r="AJ193"/>
      <c r="AK193"/>
      <c r="AL193"/>
      <c r="AM193"/>
      <c r="AN193"/>
      <c r="AO193"/>
      <c r="AP193"/>
      <c r="AQ193"/>
      <c r="AR193"/>
      <c r="AS193"/>
      <c r="AT193"/>
      <c r="AU193"/>
      <c r="AV193"/>
      <c r="AW193" s="51"/>
      <c r="AX193" s="51"/>
      <c r="AY193"/>
      <c r="AZ193"/>
      <c r="BB193"/>
      <c r="BC193"/>
      <c r="BD193"/>
    </row>
    <row r="194" spans="1:73" s="7" customFormat="1" ht="18" customHeight="1" x14ac:dyDescent="0.3">
      <c r="A194" s="6" t="s">
        <v>284</v>
      </c>
      <c r="C194" s="8">
        <v>2018</v>
      </c>
      <c r="D194" s="8">
        <v>2019</v>
      </c>
      <c r="E194" s="8">
        <v>2020</v>
      </c>
      <c r="F194" s="97">
        <v>2021</v>
      </c>
      <c r="G194" s="10">
        <v>2022</v>
      </c>
      <c r="H194" s="11">
        <v>2023</v>
      </c>
      <c r="I194" s="12">
        <v>2024</v>
      </c>
      <c r="J194" s="13">
        <v>2025</v>
      </c>
      <c r="K194" s="86"/>
      <c r="L194" s="86"/>
      <c r="M194" s="86"/>
      <c r="N194" s="6" t="s">
        <v>284</v>
      </c>
      <c r="P194" s="90" t="s">
        <v>125</v>
      </c>
      <c r="Q194" s="90" t="s">
        <v>126</v>
      </c>
      <c r="R194" s="90" t="s">
        <v>9</v>
      </c>
      <c r="S194" s="17" t="s">
        <v>100</v>
      </c>
      <c r="T194" s="16" t="s">
        <v>285</v>
      </c>
      <c r="U194" s="16" t="s">
        <v>286</v>
      </c>
      <c r="V194" s="16" t="s">
        <v>287</v>
      </c>
      <c r="W194" s="17" t="s">
        <v>102</v>
      </c>
      <c r="X194" s="16" t="s">
        <v>288</v>
      </c>
      <c r="Y194" s="16" t="s">
        <v>289</v>
      </c>
      <c r="Z194" s="16" t="s">
        <v>290</v>
      </c>
      <c r="AA194" s="17" t="s">
        <v>106</v>
      </c>
      <c r="AB194" s="16" t="s">
        <v>291</v>
      </c>
      <c r="AC194" s="16" t="s">
        <v>292</v>
      </c>
      <c r="AD194" s="16" t="s">
        <v>293</v>
      </c>
      <c r="AE194" s="17" t="s">
        <v>110</v>
      </c>
      <c r="AF194" s="16" t="s">
        <v>294</v>
      </c>
      <c r="AG194" s="16" t="s">
        <v>295</v>
      </c>
      <c r="AH194" s="16" t="s">
        <v>113</v>
      </c>
      <c r="AI194" s="17" t="s">
        <v>114</v>
      </c>
      <c r="AJ194" s="16" t="s">
        <v>115</v>
      </c>
      <c r="AK194" s="16" t="s">
        <v>116</v>
      </c>
      <c r="AL194" s="16" t="s">
        <v>117</v>
      </c>
      <c r="AM194" s="17" t="s">
        <v>30</v>
      </c>
      <c r="AN194" s="16" t="s">
        <v>31</v>
      </c>
      <c r="AO194" s="16" t="s">
        <v>296</v>
      </c>
      <c r="AP194" s="16" t="s">
        <v>297</v>
      </c>
      <c r="AQ194" s="17" t="s">
        <v>119</v>
      </c>
      <c r="AR194" s="16" t="s">
        <v>298</v>
      </c>
      <c r="AS194" s="16" t="s">
        <v>299</v>
      </c>
      <c r="AT194" s="16" t="s">
        <v>300</v>
      </c>
      <c r="AU194" s="17" t="s">
        <v>122</v>
      </c>
      <c r="AV194" s="16"/>
      <c r="AW194" s="6" t="s">
        <v>284</v>
      </c>
      <c r="AX194" s="32"/>
      <c r="AY194" s="20"/>
      <c r="AZ194" s="8"/>
      <c r="BB194" s="8"/>
      <c r="BC194" s="20" t="s">
        <v>123</v>
      </c>
      <c r="BD194" s="20" t="s">
        <v>39</v>
      </c>
      <c r="BE194" s="20" t="s">
        <v>41</v>
      </c>
      <c r="BF194" s="20" t="s">
        <v>42</v>
      </c>
      <c r="BH194" s="22"/>
      <c r="BJ194" s="23"/>
    </row>
    <row r="195" spans="1:73" s="7" customFormat="1" ht="18" customHeight="1" x14ac:dyDescent="0.3">
      <c r="A195" s="24" t="s">
        <v>43</v>
      </c>
      <c r="B195" s="7" t="s">
        <v>44</v>
      </c>
      <c r="C195" s="36">
        <v>31856</v>
      </c>
      <c r="D195" s="36">
        <v>37266</v>
      </c>
      <c r="E195" s="36">
        <v>33014</v>
      </c>
      <c r="F195" s="26">
        <v>38655</v>
      </c>
      <c r="G195" s="62">
        <v>43004</v>
      </c>
      <c r="H195" s="62">
        <v>45754</v>
      </c>
      <c r="I195" s="36">
        <v>47061</v>
      </c>
      <c r="J195" s="27">
        <v>47941</v>
      </c>
      <c r="K195" s="36"/>
      <c r="L195" s="36"/>
      <c r="M195" s="36"/>
      <c r="N195" s="24" t="s">
        <v>43</v>
      </c>
      <c r="O195" s="7" t="s">
        <v>44</v>
      </c>
      <c r="P195" s="29">
        <v>7626</v>
      </c>
      <c r="Q195" s="29">
        <v>9421</v>
      </c>
      <c r="R195" s="29">
        <v>8775</v>
      </c>
      <c r="S195" s="36">
        <v>7060</v>
      </c>
      <c r="T195" s="36">
        <v>8694</v>
      </c>
      <c r="U195" s="36">
        <v>9997</v>
      </c>
      <c r="V195" s="36">
        <v>9507</v>
      </c>
      <c r="W195" s="36">
        <v>9068</v>
      </c>
      <c r="X195" s="36">
        <v>8601</v>
      </c>
      <c r="Y195" s="36">
        <v>7150</v>
      </c>
      <c r="Z195" s="36">
        <v>8652</v>
      </c>
      <c r="AA195" s="36">
        <v>8611</v>
      </c>
      <c r="AB195" s="36">
        <v>9020</v>
      </c>
      <c r="AC195" s="36">
        <v>10129</v>
      </c>
      <c r="AD195" s="36">
        <v>10129</v>
      </c>
      <c r="AE195" s="36">
        <v>9464</v>
      </c>
      <c r="AF195" s="36">
        <v>10491</v>
      </c>
      <c r="AG195" s="36">
        <v>11325</v>
      </c>
      <c r="AH195" s="36">
        <v>11063</v>
      </c>
      <c r="AI195" s="36">
        <v>10125</v>
      </c>
      <c r="AJ195" s="36">
        <v>10980</v>
      </c>
      <c r="AK195" s="36">
        <v>11972</v>
      </c>
      <c r="AL195" s="36">
        <v>11953</v>
      </c>
      <c r="AM195" s="36">
        <v>10849</v>
      </c>
      <c r="AN195" s="36">
        <v>11300</v>
      </c>
      <c r="AO195" s="36">
        <v>12363</v>
      </c>
      <c r="AP195" s="36">
        <v>11854</v>
      </c>
      <c r="AQ195" s="36">
        <v>11544</v>
      </c>
      <c r="AR195" s="36">
        <v>11129</v>
      </c>
      <c r="AS195" s="36">
        <v>12535</v>
      </c>
      <c r="AT195" s="36">
        <v>12455</v>
      </c>
      <c r="AU195" s="36">
        <v>11822</v>
      </c>
      <c r="AV195" s="36"/>
      <c r="AW195" s="32" t="s">
        <v>44</v>
      </c>
      <c r="AX195" s="32" t="s">
        <v>43</v>
      </c>
      <c r="AY195" s="20"/>
      <c r="AZ195" s="32"/>
      <c r="BB195" s="32" t="s">
        <v>301</v>
      </c>
      <c r="BC195" s="34">
        <f>SUM(AN195:AQ195)</f>
        <v>47061</v>
      </c>
      <c r="BD195" s="34">
        <f>SUM(AR195:AU195)</f>
        <v>47941</v>
      </c>
      <c r="BE195" s="35">
        <f>(BD195-BC195)/ABS(BC195)</f>
        <v>1.8699135164998618E-2</v>
      </c>
      <c r="BF195" s="35">
        <f>(AU195/AP195)^(1/5)-1</f>
        <v>-5.4048607744261457E-4</v>
      </c>
      <c r="BG195" s="98"/>
      <c r="BH195" s="22"/>
      <c r="BI195" s="98"/>
      <c r="BJ195" s="98"/>
      <c r="BK195" s="98"/>
      <c r="BM195" s="98"/>
      <c r="BN195" s="98"/>
      <c r="BO195" s="98"/>
      <c r="BQ195" s="98"/>
      <c r="BR195" s="98"/>
      <c r="BS195" s="98"/>
    </row>
    <row r="196" spans="1:73" x14ac:dyDescent="0.3">
      <c r="P196" s="95"/>
      <c r="Q196" s="95"/>
      <c r="R196" s="95"/>
      <c r="AI196"/>
      <c r="AJ196"/>
      <c r="AK196"/>
      <c r="AL196"/>
      <c r="AM196"/>
      <c r="AN196"/>
      <c r="AO196"/>
      <c r="AP196"/>
      <c r="AQ196"/>
      <c r="AR196"/>
      <c r="AS196"/>
      <c r="AT196"/>
      <c r="AU196"/>
      <c r="AV196"/>
      <c r="AW196" s="51"/>
      <c r="AX196" s="51"/>
      <c r="AY196"/>
      <c r="AZ196"/>
      <c r="BB196"/>
      <c r="BC196"/>
      <c r="BD196"/>
    </row>
    <row r="197" spans="1:73" s="7" customFormat="1" ht="18" customHeight="1" x14ac:dyDescent="0.3">
      <c r="A197" s="6" t="s">
        <v>302</v>
      </c>
      <c r="C197" s="8">
        <v>2018</v>
      </c>
      <c r="D197" s="8">
        <v>2019</v>
      </c>
      <c r="E197" s="8">
        <v>2020</v>
      </c>
      <c r="F197" s="97">
        <v>2021</v>
      </c>
      <c r="G197" s="10">
        <v>2022</v>
      </c>
      <c r="H197" s="11">
        <v>2023</v>
      </c>
      <c r="I197" s="12">
        <v>2024</v>
      </c>
      <c r="J197" s="13">
        <v>2025</v>
      </c>
      <c r="K197" s="86"/>
      <c r="L197" s="86"/>
      <c r="M197" s="86"/>
      <c r="N197" s="6" t="s">
        <v>302</v>
      </c>
      <c r="P197" s="90" t="s">
        <v>125</v>
      </c>
      <c r="Q197" s="90" t="s">
        <v>126</v>
      </c>
      <c r="R197" s="90" t="s">
        <v>9</v>
      </c>
      <c r="S197" s="17" t="s">
        <v>100</v>
      </c>
      <c r="T197" s="16" t="s">
        <v>303</v>
      </c>
      <c r="U197" s="16" t="s">
        <v>304</v>
      </c>
      <c r="V197" s="16" t="s">
        <v>305</v>
      </c>
      <c r="W197" s="17" t="s">
        <v>306</v>
      </c>
      <c r="X197" s="16" t="s">
        <v>307</v>
      </c>
      <c r="Y197" s="16" t="s">
        <v>308</v>
      </c>
      <c r="Z197" s="16" t="s">
        <v>309</v>
      </c>
      <c r="AA197" s="17" t="s">
        <v>106</v>
      </c>
      <c r="AB197" s="16" t="s">
        <v>310</v>
      </c>
      <c r="AC197" s="16" t="s">
        <v>311</v>
      </c>
      <c r="AD197" s="16" t="s">
        <v>312</v>
      </c>
      <c r="AE197" s="17" t="s">
        <v>313</v>
      </c>
      <c r="AF197" s="16" t="s">
        <v>314</v>
      </c>
      <c r="AG197" s="16" t="s">
        <v>315</v>
      </c>
      <c r="AH197" s="16" t="s">
        <v>316</v>
      </c>
      <c r="AI197" s="17" t="s">
        <v>317</v>
      </c>
      <c r="AJ197" s="16" t="s">
        <v>318</v>
      </c>
      <c r="AK197" s="16" t="s">
        <v>319</v>
      </c>
      <c r="AL197" s="16" t="s">
        <v>320</v>
      </c>
      <c r="AM197" s="17" t="s">
        <v>321</v>
      </c>
      <c r="AN197" s="18" t="s">
        <v>322</v>
      </c>
      <c r="AO197" s="16" t="s">
        <v>323</v>
      </c>
      <c r="AP197" s="16" t="s">
        <v>324</v>
      </c>
      <c r="AQ197" s="17" t="s">
        <v>325</v>
      </c>
      <c r="AR197" s="16" t="s">
        <v>326</v>
      </c>
      <c r="AS197" s="16" t="s">
        <v>327</v>
      </c>
      <c r="AT197" s="16" t="s">
        <v>328</v>
      </c>
      <c r="AU197" s="17" t="s">
        <v>329</v>
      </c>
      <c r="AV197" s="16"/>
      <c r="AW197" s="6" t="s">
        <v>302</v>
      </c>
      <c r="AX197" s="32"/>
      <c r="AZ197" s="32"/>
      <c r="BB197" s="8"/>
      <c r="BC197" s="20" t="s">
        <v>123</v>
      </c>
      <c r="BD197" s="20" t="s">
        <v>39</v>
      </c>
      <c r="BE197" s="20" t="s">
        <v>41</v>
      </c>
      <c r="BF197" s="20" t="s">
        <v>42</v>
      </c>
      <c r="BH197" s="22"/>
      <c r="BJ197" s="23"/>
    </row>
    <row r="198" spans="1:73" s="7" customFormat="1" ht="18" customHeight="1" x14ac:dyDescent="0.3">
      <c r="A198" s="24" t="s">
        <v>43</v>
      </c>
      <c r="B198" s="7" t="s">
        <v>44</v>
      </c>
      <c r="C198" s="36">
        <v>64661</v>
      </c>
      <c r="D198" s="36">
        <v>67161</v>
      </c>
      <c r="E198" s="36">
        <v>70372</v>
      </c>
      <c r="F198" s="26">
        <v>79474</v>
      </c>
      <c r="G198" s="62">
        <v>86392</v>
      </c>
      <c r="H198" s="62">
        <v>91471</v>
      </c>
      <c r="I198" s="36">
        <v>91854</v>
      </c>
      <c r="J198" s="27">
        <v>93925</v>
      </c>
      <c r="K198" s="36"/>
      <c r="L198" s="36"/>
      <c r="M198" s="36"/>
      <c r="N198" s="24" t="s">
        <v>43</v>
      </c>
      <c r="O198" s="7" t="s">
        <v>44</v>
      </c>
      <c r="P198" s="29">
        <v>12562</v>
      </c>
      <c r="Q198" s="29">
        <v>16090</v>
      </c>
      <c r="R198" s="29">
        <v>16485</v>
      </c>
      <c r="S198" s="36">
        <v>19520</v>
      </c>
      <c r="T198" s="36">
        <v>12884</v>
      </c>
      <c r="U198" s="36">
        <v>16449</v>
      </c>
      <c r="V198" s="36">
        <v>17188</v>
      </c>
      <c r="W198" s="36">
        <v>20640</v>
      </c>
      <c r="X198" s="36">
        <v>13881</v>
      </c>
      <c r="Y198" s="36">
        <v>15945</v>
      </c>
      <c r="Z198" s="36">
        <v>18091</v>
      </c>
      <c r="AA198" s="36">
        <v>22455</v>
      </c>
      <c r="AB198" s="36">
        <v>14820</v>
      </c>
      <c r="AC198" s="36">
        <v>19217</v>
      </c>
      <c r="AD198" s="36">
        <v>20189</v>
      </c>
      <c r="AE198" s="36">
        <v>25248</v>
      </c>
      <c r="AF198" s="36">
        <v>16200</v>
      </c>
      <c r="AG198" s="36">
        <v>20225</v>
      </c>
      <c r="AH198" s="36">
        <v>21971</v>
      </c>
      <c r="AI198" s="36">
        <v>27996</v>
      </c>
      <c r="AJ198" s="36">
        <v>17846</v>
      </c>
      <c r="AK198" s="36">
        <v>22322</v>
      </c>
      <c r="AL198" s="36">
        <v>23453</v>
      </c>
      <c r="AM198" s="36">
        <v>27850</v>
      </c>
      <c r="AN198" s="37">
        <v>18250</v>
      </c>
      <c r="AO198" s="36">
        <v>22501</v>
      </c>
      <c r="AP198" s="36">
        <v>23319</v>
      </c>
      <c r="AQ198" s="36">
        <v>27784</v>
      </c>
      <c r="AR198" s="36">
        <v>17919</v>
      </c>
      <c r="AS198" s="36">
        <v>22726</v>
      </c>
      <c r="AT198" s="36">
        <v>23937</v>
      </c>
      <c r="AU198" s="36">
        <v>29343</v>
      </c>
      <c r="AV198" s="36"/>
      <c r="AW198" s="32" t="s">
        <v>44</v>
      </c>
      <c r="AX198" s="32" t="s">
        <v>43</v>
      </c>
      <c r="AZ198" s="32"/>
      <c r="BB198" s="32" t="s">
        <v>330</v>
      </c>
      <c r="BC198" s="34">
        <f>SUM(AN198:AQ198)</f>
        <v>91854</v>
      </c>
      <c r="BD198" s="34">
        <f>SUM(AR198:AU198)</f>
        <v>93925</v>
      </c>
      <c r="BE198" s="35">
        <f>(BD198-BC198)/ABS(BC198)</f>
        <v>2.2546650118666578E-2</v>
      </c>
      <c r="BF198" s="35">
        <f>(AU198/AP198)^(1/5)-1</f>
        <v>4.7029500398262147E-2</v>
      </c>
      <c r="BG198" s="98"/>
      <c r="BH198" s="22"/>
      <c r="BI198" s="98"/>
      <c r="BJ198" s="98"/>
      <c r="BK198" s="98"/>
      <c r="BM198" s="98"/>
      <c r="BN198" s="98"/>
      <c r="BO198" s="98"/>
      <c r="BQ198" s="98"/>
      <c r="BR198" s="98"/>
      <c r="BS198" s="98"/>
    </row>
    <row r="199" spans="1:73" x14ac:dyDescent="0.3">
      <c r="P199" s="95"/>
      <c r="Q199" s="95"/>
      <c r="R199" s="95"/>
      <c r="AI199"/>
      <c r="AJ199"/>
      <c r="AK199"/>
      <c r="AL199"/>
      <c r="AM199"/>
      <c r="AN199"/>
      <c r="AO199"/>
      <c r="AP199"/>
      <c r="AQ199"/>
      <c r="AR199"/>
      <c r="AS199"/>
      <c r="AT199"/>
      <c r="AU199"/>
      <c r="AV199"/>
      <c r="AW199" s="51"/>
      <c r="AX199"/>
      <c r="AY199"/>
      <c r="AZ199"/>
      <c r="BB199"/>
      <c r="BC199"/>
      <c r="BD199"/>
    </row>
    <row r="200" spans="1:73" x14ac:dyDescent="0.3">
      <c r="A200" s="6" t="s">
        <v>331</v>
      </c>
      <c r="B200" s="7"/>
      <c r="C200" s="8">
        <v>2018</v>
      </c>
      <c r="D200" s="8">
        <v>2019</v>
      </c>
      <c r="E200" s="8">
        <v>2020</v>
      </c>
      <c r="F200" s="72">
        <v>2021</v>
      </c>
      <c r="G200" s="10">
        <v>2022</v>
      </c>
      <c r="H200" s="11">
        <v>2023</v>
      </c>
      <c r="I200" s="12">
        <v>2024</v>
      </c>
      <c r="J200" s="13">
        <v>2025</v>
      </c>
      <c r="N200" s="6" t="s">
        <v>331</v>
      </c>
      <c r="O200" s="7"/>
      <c r="P200" s="87" t="s">
        <v>125</v>
      </c>
      <c r="Q200" s="87" t="s">
        <v>126</v>
      </c>
      <c r="R200" s="87" t="s">
        <v>9</v>
      </c>
      <c r="S200" s="17" t="s">
        <v>100</v>
      </c>
      <c r="T200" s="18" t="s">
        <v>11</v>
      </c>
      <c r="U200" s="18" t="s">
        <v>12</v>
      </c>
      <c r="V200" s="18" t="s">
        <v>101</v>
      </c>
      <c r="W200" s="17" t="s">
        <v>102</v>
      </c>
      <c r="X200" s="18" t="s">
        <v>103</v>
      </c>
      <c r="Y200" s="18" t="s">
        <v>104</v>
      </c>
      <c r="Z200" s="18" t="s">
        <v>105</v>
      </c>
      <c r="AA200" s="17" t="s">
        <v>106</v>
      </c>
      <c r="AB200" s="18" t="s">
        <v>107</v>
      </c>
      <c r="AC200" s="18" t="s">
        <v>108</v>
      </c>
      <c r="AD200" s="18" t="s">
        <v>109</v>
      </c>
      <c r="AE200" s="17" t="s">
        <v>110</v>
      </c>
      <c r="AF200" s="18" t="s">
        <v>111</v>
      </c>
      <c r="AG200" s="18" t="s">
        <v>112</v>
      </c>
      <c r="AH200" s="18" t="s">
        <v>113</v>
      </c>
      <c r="AI200" s="17" t="s">
        <v>114</v>
      </c>
      <c r="AJ200" s="18" t="s">
        <v>115</v>
      </c>
      <c r="AK200" s="18" t="s">
        <v>116</v>
      </c>
      <c r="AL200" s="18" t="s">
        <v>117</v>
      </c>
      <c r="AM200" s="17" t="s">
        <v>30</v>
      </c>
      <c r="AN200" s="18" t="s">
        <v>31</v>
      </c>
      <c r="AO200" s="16" t="s">
        <v>32</v>
      </c>
      <c r="AP200" s="16" t="s">
        <v>118</v>
      </c>
      <c r="AQ200" s="17" t="s">
        <v>119</v>
      </c>
      <c r="AR200" s="16" t="s">
        <v>120</v>
      </c>
      <c r="AS200" s="16" t="s">
        <v>121</v>
      </c>
      <c r="AT200" s="16" t="s">
        <v>127</v>
      </c>
      <c r="AU200" s="17" t="s">
        <v>122</v>
      </c>
      <c r="AV200"/>
      <c r="AW200" s="6" t="s">
        <v>331</v>
      </c>
      <c r="AX200" s="7"/>
      <c r="AY200"/>
      <c r="AZ200"/>
      <c r="BB200"/>
      <c r="BC200" s="20" t="s">
        <v>123</v>
      </c>
      <c r="BD200" s="20" t="s">
        <v>39</v>
      </c>
      <c r="BE200" s="20" t="s">
        <v>41</v>
      </c>
      <c r="BF200" s="20" t="s">
        <v>42</v>
      </c>
    </row>
    <row r="201" spans="1:73" x14ac:dyDescent="0.3">
      <c r="A201" s="24" t="s">
        <v>43</v>
      </c>
      <c r="B201" s="7" t="s">
        <v>44</v>
      </c>
      <c r="C201" s="36">
        <v>3807</v>
      </c>
      <c r="D201" s="36">
        <v>4201</v>
      </c>
      <c r="E201" s="36">
        <v>4599</v>
      </c>
      <c r="F201" s="26">
        <v>5541</v>
      </c>
      <c r="G201" s="62">
        <v>6311.05</v>
      </c>
      <c r="H201" s="62">
        <v>7140.027</v>
      </c>
      <c r="I201" s="36">
        <v>7492.71</v>
      </c>
      <c r="J201" s="27">
        <v>8294.3410000000003</v>
      </c>
      <c r="N201" s="24" t="s">
        <v>43</v>
      </c>
      <c r="O201" s="7" t="s">
        <v>44</v>
      </c>
      <c r="P201" s="88">
        <v>851</v>
      </c>
      <c r="Q201" s="88">
        <v>1016</v>
      </c>
      <c r="R201" s="88">
        <v>1016</v>
      </c>
      <c r="S201" s="37">
        <v>920</v>
      </c>
      <c r="T201" s="37">
        <v>946</v>
      </c>
      <c r="U201" s="37">
        <v>1104</v>
      </c>
      <c r="V201" s="37">
        <v>1134</v>
      </c>
      <c r="W201" s="37">
        <v>1017</v>
      </c>
      <c r="X201" s="37">
        <v>1062</v>
      </c>
      <c r="Y201" s="37">
        <v>1094</v>
      </c>
      <c r="Z201" s="37">
        <v>1246</v>
      </c>
      <c r="AA201" s="37">
        <v>1196</v>
      </c>
      <c r="AB201" s="37">
        <v>1244</v>
      </c>
      <c r="AC201" s="37">
        <v>1462</v>
      </c>
      <c r="AD201" s="37">
        <v>1411</v>
      </c>
      <c r="AE201" s="37">
        <v>1425</v>
      </c>
      <c r="AF201" s="37">
        <v>1519</v>
      </c>
      <c r="AG201" s="37">
        <v>1655</v>
      </c>
      <c r="AH201" s="37">
        <v>1624</v>
      </c>
      <c r="AI201" s="37">
        <v>1513</v>
      </c>
      <c r="AJ201" s="37">
        <v>1699</v>
      </c>
      <c r="AK201" s="37">
        <v>1855</v>
      </c>
      <c r="AL201" s="37">
        <v>1856</v>
      </c>
      <c r="AM201" s="37">
        <v>1730</v>
      </c>
      <c r="AN201" s="37">
        <v>1899</v>
      </c>
      <c r="AO201" s="36">
        <v>1900.6</v>
      </c>
      <c r="AP201" s="36">
        <v>1880.97</v>
      </c>
      <c r="AQ201" s="36">
        <v>1812.04</v>
      </c>
      <c r="AR201" s="36">
        <v>1854.558</v>
      </c>
      <c r="AS201" s="36">
        <v>2111.5929999999998</v>
      </c>
      <c r="AT201" s="36">
        <v>2197.14</v>
      </c>
      <c r="AU201" s="36">
        <v>2131.0500000000002</v>
      </c>
      <c r="AV201"/>
      <c r="AW201" s="32" t="s">
        <v>44</v>
      </c>
      <c r="AX201" s="32" t="s">
        <v>43</v>
      </c>
      <c r="AY201"/>
      <c r="AZ201"/>
      <c r="BB201" t="s">
        <v>332</v>
      </c>
      <c r="BC201" s="34">
        <f>SUM(AM201:AP201)</f>
        <v>7410.5700000000006</v>
      </c>
      <c r="BD201" s="34">
        <f>SUM(AQ201:AT201)</f>
        <v>7975.3310000000001</v>
      </c>
      <c r="BE201" s="35">
        <f>(BD201-BC201)/ABS(BC201)</f>
        <v>7.621019705636671E-2</v>
      </c>
      <c r="BF201" s="35">
        <f>(AT201/AO201)^(1/5)-1</f>
        <v>2.9421895087762939E-2</v>
      </c>
    </row>
    <row r="202" spans="1:73" x14ac:dyDescent="0.3">
      <c r="AI202"/>
      <c r="AJ202"/>
      <c r="AK202"/>
      <c r="AL202"/>
      <c r="AM202"/>
      <c r="AN202"/>
      <c r="AO202"/>
      <c r="AP202"/>
      <c r="AQ202"/>
      <c r="AR202"/>
      <c r="AS202"/>
      <c r="AT202"/>
      <c r="AU202"/>
      <c r="AV202"/>
      <c r="AW202" s="51"/>
      <c r="AX202"/>
      <c r="AY202"/>
      <c r="AZ202"/>
      <c r="BE202" s="2"/>
      <c r="BF202" s="2"/>
    </row>
    <row r="203" spans="1:73" x14ac:dyDescent="0.3">
      <c r="A203" s="6" t="s">
        <v>333</v>
      </c>
      <c r="B203" s="7"/>
      <c r="C203" s="8">
        <v>2018</v>
      </c>
      <c r="D203" s="8">
        <v>2019</v>
      </c>
      <c r="E203" s="8">
        <v>2020</v>
      </c>
      <c r="F203" s="97">
        <v>2021</v>
      </c>
      <c r="G203" s="10">
        <v>2022</v>
      </c>
      <c r="H203" s="11">
        <v>2023</v>
      </c>
      <c r="I203" s="12">
        <v>2024</v>
      </c>
      <c r="J203" s="13">
        <v>2025</v>
      </c>
      <c r="K203" s="80"/>
      <c r="L203" s="80"/>
      <c r="M203" s="80"/>
      <c r="N203" s="6" t="s">
        <v>333</v>
      </c>
      <c r="O203" s="7"/>
      <c r="P203" s="16" t="s">
        <v>125</v>
      </c>
      <c r="Q203" s="16" t="s">
        <v>126</v>
      </c>
      <c r="R203" s="16" t="s">
        <v>9</v>
      </c>
      <c r="S203" s="17" t="s">
        <v>100</v>
      </c>
      <c r="T203" s="16" t="s">
        <v>11</v>
      </c>
      <c r="U203" s="16" t="s">
        <v>12</v>
      </c>
      <c r="V203" s="16" t="s">
        <v>101</v>
      </c>
      <c r="W203" s="17" t="s">
        <v>102</v>
      </c>
      <c r="X203" s="16" t="s">
        <v>103</v>
      </c>
      <c r="Y203" s="16" t="s">
        <v>104</v>
      </c>
      <c r="Z203" s="16" t="s">
        <v>105</v>
      </c>
      <c r="AA203" s="17" t="s">
        <v>106</v>
      </c>
      <c r="AB203" s="16" t="s">
        <v>107</v>
      </c>
      <c r="AC203" s="16" t="s">
        <v>108</v>
      </c>
      <c r="AD203" s="16" t="s">
        <v>109</v>
      </c>
      <c r="AE203" s="17" t="s">
        <v>110</v>
      </c>
      <c r="AF203" s="16" t="s">
        <v>111</v>
      </c>
      <c r="AG203" s="16" t="s">
        <v>112</v>
      </c>
      <c r="AH203" s="16" t="s">
        <v>113</v>
      </c>
      <c r="AI203" s="17" t="s">
        <v>114</v>
      </c>
      <c r="AJ203" s="16" t="s">
        <v>115</v>
      </c>
      <c r="AK203" s="16" t="s">
        <v>116</v>
      </c>
      <c r="AL203" s="16" t="s">
        <v>117</v>
      </c>
      <c r="AM203" s="17" t="s">
        <v>30</v>
      </c>
      <c r="AN203" s="16" t="s">
        <v>31</v>
      </c>
      <c r="AO203" s="16" t="s">
        <v>32</v>
      </c>
      <c r="AP203" s="16" t="s">
        <v>118</v>
      </c>
      <c r="AQ203" s="17" t="s">
        <v>119</v>
      </c>
      <c r="AR203" s="16" t="s">
        <v>120</v>
      </c>
      <c r="AS203" s="16" t="s">
        <v>121</v>
      </c>
      <c r="AT203" s="16" t="s">
        <v>127</v>
      </c>
      <c r="AU203" s="17" t="s">
        <v>122</v>
      </c>
      <c r="AV203"/>
      <c r="AW203" s="6" t="s">
        <v>333</v>
      </c>
      <c r="AX203"/>
      <c r="AY203"/>
      <c r="AZ203"/>
      <c r="BC203" s="20" t="s">
        <v>123</v>
      </c>
      <c r="BD203" s="20" t="s">
        <v>39</v>
      </c>
      <c r="BE203" s="20" t="s">
        <v>41</v>
      </c>
      <c r="BF203" s="20" t="s">
        <v>42</v>
      </c>
    </row>
    <row r="204" spans="1:73" x14ac:dyDescent="0.3">
      <c r="A204" s="24" t="s">
        <v>43</v>
      </c>
      <c r="B204" s="7" t="s">
        <v>44</v>
      </c>
      <c r="C204" s="37"/>
      <c r="D204" s="37">
        <v>238.36799999999999</v>
      </c>
      <c r="E204" s="37">
        <v>327.43</v>
      </c>
      <c r="F204" s="37">
        <v>497.87599999999998</v>
      </c>
      <c r="G204" s="27">
        <v>829.01200000000006</v>
      </c>
      <c r="H204" s="27">
        <v>965.77600000000007</v>
      </c>
      <c r="I204" s="27">
        <v>1380.019</v>
      </c>
      <c r="J204" s="27">
        <v>1638.15</v>
      </c>
      <c r="K204" s="27"/>
      <c r="L204" s="26"/>
      <c r="M204" s="26"/>
      <c r="N204" s="24" t="s">
        <v>43</v>
      </c>
      <c r="O204" s="7" t="s">
        <v>44</v>
      </c>
      <c r="P204" s="94"/>
      <c r="Q204" s="99"/>
      <c r="R204" s="99"/>
      <c r="S204" s="99"/>
      <c r="T204" s="94"/>
      <c r="U204" s="94"/>
      <c r="V204" s="94"/>
      <c r="W204" s="94"/>
      <c r="X204" s="100">
        <v>66.385439999999988</v>
      </c>
      <c r="Y204" s="100">
        <v>84.490560000000031</v>
      </c>
      <c r="Z204" s="94">
        <v>86.658000000000001</v>
      </c>
      <c r="AA204" s="94">
        <v>89.896000000000001</v>
      </c>
      <c r="AB204" s="94">
        <v>98.784999999999997</v>
      </c>
      <c r="AC204" s="94">
        <v>129.208</v>
      </c>
      <c r="AD204" s="94">
        <v>129.803</v>
      </c>
      <c r="AE204" s="94">
        <v>140.08000000000001</v>
      </c>
      <c r="AF204" s="94">
        <v>152.15600000000001</v>
      </c>
      <c r="AG204" s="94">
        <v>186.381</v>
      </c>
      <c r="AH204" s="94">
        <v>198.648</v>
      </c>
      <c r="AI204" s="94">
        <v>291.827</v>
      </c>
      <c r="AJ204" s="94">
        <v>197.267</v>
      </c>
      <c r="AK204" s="94">
        <v>249.87899999999999</v>
      </c>
      <c r="AL204" s="94">
        <v>264.50700000000001</v>
      </c>
      <c r="AM204" s="94">
        <v>254.12299999999999</v>
      </c>
      <c r="AN204" s="94">
        <v>275.09899999999999</v>
      </c>
      <c r="AO204" s="94">
        <v>423.92</v>
      </c>
      <c r="AP204" s="94">
        <v>338.21</v>
      </c>
      <c r="AQ204" s="94">
        <v>342.79</v>
      </c>
      <c r="AR204" s="94">
        <v>355.15</v>
      </c>
      <c r="AS204" s="94">
        <v>415.81</v>
      </c>
      <c r="AT204" s="94">
        <v>423.58</v>
      </c>
      <c r="AU204" s="94">
        <v>443.61</v>
      </c>
      <c r="AV204"/>
      <c r="AW204" s="32" t="s">
        <v>44</v>
      </c>
      <c r="AX204" s="24" t="s">
        <v>43</v>
      </c>
      <c r="AY204"/>
      <c r="AZ204"/>
      <c r="BB204" s="2" t="s">
        <v>334</v>
      </c>
      <c r="BC204" s="34">
        <f>SUM(AN204:AQ204)</f>
        <v>1380.019</v>
      </c>
      <c r="BD204" s="34">
        <f>SUM(AR204:AU204)</f>
        <v>1638.15</v>
      </c>
      <c r="BE204" s="35">
        <f>(BD204-BC204)/ABS(BC204)</f>
        <v>0.18704887396477882</v>
      </c>
      <c r="BF204" s="35">
        <f>(AU204/AP204)^(1/5)-1</f>
        <v>5.5754586095857261E-2</v>
      </c>
    </row>
    <row r="205" spans="1:73" x14ac:dyDescent="0.3">
      <c r="AI205"/>
      <c r="AJ205"/>
      <c r="AK205"/>
      <c r="AL205"/>
      <c r="AM205"/>
      <c r="AN205"/>
      <c r="AO205"/>
      <c r="AP205"/>
      <c r="AQ205"/>
      <c r="AR205"/>
      <c r="AS205"/>
      <c r="AT205"/>
      <c r="AU205"/>
      <c r="AV205"/>
      <c r="AW205"/>
      <c r="AX205"/>
      <c r="AY205"/>
      <c r="AZ205"/>
      <c r="BE205" s="2"/>
      <c r="BF205" s="2"/>
    </row>
    <row r="206" spans="1:73" s="2" customFormat="1" ht="18" customHeight="1" x14ac:dyDescent="0.3">
      <c r="A206" s="6" t="s">
        <v>335</v>
      </c>
      <c r="B206" s="7"/>
      <c r="C206" s="8">
        <v>2018</v>
      </c>
      <c r="D206" s="8">
        <v>2019</v>
      </c>
      <c r="E206" s="8">
        <v>2020</v>
      </c>
      <c r="F206" s="97">
        <v>2021</v>
      </c>
      <c r="G206" s="10">
        <v>2022</v>
      </c>
      <c r="H206" s="11">
        <v>2023</v>
      </c>
      <c r="I206" s="12">
        <v>2024</v>
      </c>
      <c r="J206" s="13">
        <v>2025</v>
      </c>
      <c r="K206" s="15"/>
      <c r="L206" s="80"/>
      <c r="M206" s="80"/>
      <c r="N206" s="6" t="s">
        <v>335</v>
      </c>
      <c r="O206" s="7"/>
      <c r="P206" s="16" t="s">
        <v>125</v>
      </c>
      <c r="Q206" s="16" t="s">
        <v>126</v>
      </c>
      <c r="R206" s="16" t="s">
        <v>9</v>
      </c>
      <c r="S206" s="17" t="s">
        <v>100</v>
      </c>
      <c r="T206" s="16" t="s">
        <v>11</v>
      </c>
      <c r="U206" s="16" t="s">
        <v>12</v>
      </c>
      <c r="V206" s="16" t="s">
        <v>101</v>
      </c>
      <c r="W206" s="17" t="s">
        <v>102</v>
      </c>
      <c r="X206" s="16" t="s">
        <v>103</v>
      </c>
      <c r="Y206" s="16" t="s">
        <v>104</v>
      </c>
      <c r="Z206" s="16" t="s">
        <v>105</v>
      </c>
      <c r="AA206" s="17" t="s">
        <v>106</v>
      </c>
      <c r="AB206" s="16" t="s">
        <v>107</v>
      </c>
      <c r="AC206" s="16" t="s">
        <v>108</v>
      </c>
      <c r="AD206" s="16" t="s">
        <v>109</v>
      </c>
      <c r="AE206" s="17" t="s">
        <v>110</v>
      </c>
      <c r="AF206" s="16" t="s">
        <v>111</v>
      </c>
      <c r="AG206" s="16" t="s">
        <v>112</v>
      </c>
      <c r="AH206" s="16" t="s">
        <v>113</v>
      </c>
      <c r="AI206" s="17" t="s">
        <v>114</v>
      </c>
      <c r="AJ206" s="16" t="s">
        <v>115</v>
      </c>
      <c r="AK206" s="16" t="s">
        <v>116</v>
      </c>
      <c r="AL206" s="16" t="s">
        <v>117</v>
      </c>
      <c r="AM206" s="17" t="s">
        <v>30</v>
      </c>
      <c r="AN206" s="16" t="s">
        <v>31</v>
      </c>
      <c r="AO206" s="16" t="s">
        <v>32</v>
      </c>
      <c r="AP206" s="16" t="s">
        <v>118</v>
      </c>
      <c r="AQ206" s="17" t="s">
        <v>119</v>
      </c>
      <c r="AR206" s="16" t="s">
        <v>120</v>
      </c>
      <c r="AS206" s="16" t="s">
        <v>121</v>
      </c>
      <c r="AT206" s="16" t="s">
        <v>127</v>
      </c>
      <c r="AU206" s="17" t="s">
        <v>122</v>
      </c>
      <c r="AV206"/>
      <c r="AW206" s="6" t="s">
        <v>335</v>
      </c>
      <c r="AX206"/>
      <c r="AY206"/>
      <c r="AZ206"/>
      <c r="BA206" s="7"/>
      <c r="BC206" s="20" t="s">
        <v>123</v>
      </c>
      <c r="BD206" s="20" t="s">
        <v>39</v>
      </c>
      <c r="BE206" s="20" t="s">
        <v>41</v>
      </c>
      <c r="BF206" s="20" t="s">
        <v>336</v>
      </c>
      <c r="BG206" s="20"/>
      <c r="BH206" s="7"/>
      <c r="BI206" s="7"/>
      <c r="BJ206" s="7"/>
      <c r="BK206" s="7"/>
      <c r="BL206" s="7"/>
      <c r="BM206" s="7"/>
      <c r="BN206" s="7"/>
      <c r="BO206" s="7"/>
      <c r="BP206" s="7"/>
      <c r="BQ206" s="7"/>
      <c r="BR206" s="7"/>
      <c r="BS206" s="7"/>
      <c r="BT206" s="7"/>
      <c r="BU206" s="7"/>
    </row>
    <row r="207" spans="1:73" s="2" customFormat="1" ht="18" customHeight="1" x14ac:dyDescent="0.3">
      <c r="A207" s="24" t="s">
        <v>337</v>
      </c>
      <c r="B207" s="7" t="s">
        <v>44</v>
      </c>
      <c r="C207" s="37">
        <v>6664</v>
      </c>
      <c r="D207" s="37">
        <v>6945</v>
      </c>
      <c r="E207" s="37">
        <v>6651</v>
      </c>
      <c r="F207" s="37">
        <v>7001</v>
      </c>
      <c r="G207" s="27">
        <v>8151</v>
      </c>
      <c r="H207" s="27">
        <v>8191</v>
      </c>
      <c r="I207" s="27">
        <v>8837</v>
      </c>
      <c r="J207" s="27">
        <v>9921</v>
      </c>
      <c r="K207" s="27"/>
      <c r="L207" s="26"/>
      <c r="M207" s="26"/>
      <c r="N207" s="24" t="s">
        <v>337</v>
      </c>
      <c r="O207" s="7" t="s">
        <v>44</v>
      </c>
      <c r="P207" s="94"/>
      <c r="Q207" s="99">
        <v>1540</v>
      </c>
      <c r="R207" s="99"/>
      <c r="S207" s="99">
        <v>1657</v>
      </c>
      <c r="T207" s="94"/>
      <c r="U207" s="94">
        <v>3332</v>
      </c>
      <c r="V207" s="94"/>
      <c r="W207" s="94">
        <v>3613</v>
      </c>
      <c r="X207" s="94"/>
      <c r="Y207" s="94">
        <v>3236</v>
      </c>
      <c r="Z207" s="94"/>
      <c r="AA207" s="94">
        <v>3415</v>
      </c>
      <c r="AB207" s="94"/>
      <c r="AC207" s="94">
        <v>3254</v>
      </c>
      <c r="AD207" s="94"/>
      <c r="AE207" s="94">
        <v>3747</v>
      </c>
      <c r="AF207" s="94"/>
      <c r="AG207" s="94">
        <v>3896</v>
      </c>
      <c r="AH207" s="94"/>
      <c r="AI207" s="94">
        <v>4255</v>
      </c>
      <c r="AJ207" s="94"/>
      <c r="AK207" s="94">
        <v>3988</v>
      </c>
      <c r="AL207" s="94"/>
      <c r="AM207" s="94">
        <v>4203</v>
      </c>
      <c r="AN207" s="94"/>
      <c r="AO207" s="94">
        <v>4210</v>
      </c>
      <c r="AP207" s="94"/>
      <c r="AQ207" s="94">
        <v>4627</v>
      </c>
      <c r="AR207" s="94"/>
      <c r="AS207" s="94">
        <v>5045</v>
      </c>
      <c r="AT207" s="94"/>
      <c r="AU207" s="94">
        <v>4876</v>
      </c>
      <c r="AV207"/>
      <c r="AW207" s="32" t="s">
        <v>44</v>
      </c>
      <c r="AX207" s="24" t="s">
        <v>337</v>
      </c>
      <c r="AY207"/>
      <c r="AZ207"/>
      <c r="BA207" s="32"/>
      <c r="BB207" s="2" t="s">
        <v>338</v>
      </c>
      <c r="BC207" s="34">
        <f>SUM(AN207:AQ207)</f>
        <v>8837</v>
      </c>
      <c r="BD207" s="34">
        <f>SUM(AR207:AU207)</f>
        <v>9921</v>
      </c>
      <c r="BE207" s="101">
        <f>(BD207-BC207)/ABS(BC207)</f>
        <v>0.12266606314360078</v>
      </c>
      <c r="BF207" s="101">
        <f>(AU207/AQ207)^(1/5)-1</f>
        <v>1.0538442654527636E-2</v>
      </c>
      <c r="BG207" s="35"/>
      <c r="BH207" s="7"/>
      <c r="BI207" s="7"/>
      <c r="BJ207" s="7"/>
      <c r="BK207" s="7"/>
      <c r="BL207" s="7"/>
      <c r="BM207" s="7"/>
      <c r="BN207" s="7"/>
      <c r="BO207" s="7"/>
      <c r="BP207" s="7"/>
      <c r="BQ207" s="7"/>
      <c r="BR207" s="7"/>
      <c r="BS207" s="7"/>
      <c r="BT207" s="7"/>
      <c r="BU207" s="7"/>
    </row>
    <row r="208" spans="1:73" x14ac:dyDescent="0.3">
      <c r="AI208"/>
      <c r="AJ208"/>
      <c r="AK208"/>
      <c r="AL208"/>
      <c r="AM208"/>
      <c r="AN208"/>
      <c r="AO208"/>
      <c r="AP208"/>
      <c r="AQ208"/>
      <c r="AR208"/>
      <c r="AS208"/>
      <c r="AT208"/>
      <c r="AU208"/>
      <c r="AV208"/>
      <c r="AW208" s="51"/>
      <c r="AX208"/>
      <c r="AY208"/>
      <c r="AZ208"/>
      <c r="BA208"/>
      <c r="BB208"/>
      <c r="BC208"/>
      <c r="BD208" s="84"/>
    </row>
    <row r="209" spans="1:73" s="7" customFormat="1" ht="18" customHeight="1" x14ac:dyDescent="0.3">
      <c r="A209" s="102" t="s">
        <v>339</v>
      </c>
      <c r="C209" s="8">
        <v>2018</v>
      </c>
      <c r="D209" s="8">
        <v>2019</v>
      </c>
      <c r="E209" s="8">
        <v>2020</v>
      </c>
      <c r="F209" s="72">
        <v>2021</v>
      </c>
      <c r="G209" s="10">
        <v>2022</v>
      </c>
      <c r="H209" s="11">
        <v>2023</v>
      </c>
      <c r="I209" s="12">
        <v>2024</v>
      </c>
      <c r="J209" s="13" t="s">
        <v>180</v>
      </c>
      <c r="K209" s="89"/>
      <c r="L209" s="89"/>
      <c r="M209" s="89"/>
      <c r="N209" s="6" t="s">
        <v>340</v>
      </c>
      <c r="P209" s="87" t="s">
        <v>125</v>
      </c>
      <c r="Q209" s="87" t="s">
        <v>126</v>
      </c>
      <c r="R209" s="87" t="s">
        <v>9</v>
      </c>
      <c r="S209" s="17" t="s">
        <v>341</v>
      </c>
      <c r="T209" s="16" t="s">
        <v>342</v>
      </c>
      <c r="U209" s="16" t="s">
        <v>343</v>
      </c>
      <c r="V209" s="16" t="s">
        <v>344</v>
      </c>
      <c r="W209" s="17" t="s">
        <v>345</v>
      </c>
      <c r="X209" s="16" t="s">
        <v>346</v>
      </c>
      <c r="Y209" s="16" t="s">
        <v>347</v>
      </c>
      <c r="Z209" s="16" t="s">
        <v>348</v>
      </c>
      <c r="AA209" s="17" t="s">
        <v>349</v>
      </c>
      <c r="AB209" s="16" t="s">
        <v>107</v>
      </c>
      <c r="AC209" s="16" t="s">
        <v>108</v>
      </c>
      <c r="AD209" s="16" t="s">
        <v>350</v>
      </c>
      <c r="AE209" s="17" t="s">
        <v>351</v>
      </c>
      <c r="AF209" s="16" t="s">
        <v>352</v>
      </c>
      <c r="AG209" s="16" t="s">
        <v>353</v>
      </c>
      <c r="AH209" s="16" t="s">
        <v>354</v>
      </c>
      <c r="AI209" s="17" t="s">
        <v>355</v>
      </c>
      <c r="AJ209" s="16" t="s">
        <v>356</v>
      </c>
      <c r="AK209" s="16" t="s">
        <v>357</v>
      </c>
      <c r="AL209" s="18" t="s">
        <v>358</v>
      </c>
      <c r="AM209" s="17" t="s">
        <v>359</v>
      </c>
      <c r="AN209" s="16" t="s">
        <v>360</v>
      </c>
      <c r="AO209" s="16" t="s">
        <v>361</v>
      </c>
      <c r="AP209" s="16" t="s">
        <v>362</v>
      </c>
      <c r="AQ209" s="17" t="s">
        <v>363</v>
      </c>
      <c r="AR209" s="16" t="s">
        <v>364</v>
      </c>
      <c r="AS209" s="16" t="s">
        <v>365</v>
      </c>
      <c r="AT209" s="16" t="s">
        <v>366</v>
      </c>
      <c r="AU209" s="17" t="s">
        <v>367</v>
      </c>
      <c r="AW209" s="102" t="s">
        <v>339</v>
      </c>
      <c r="AZ209" s="92"/>
      <c r="BB209" s="32"/>
      <c r="BC209" s="20" t="s">
        <v>123</v>
      </c>
      <c r="BD209" s="20" t="s">
        <v>39</v>
      </c>
      <c r="BE209" s="20" t="s">
        <v>41</v>
      </c>
      <c r="BF209" s="20" t="s">
        <v>42</v>
      </c>
    </row>
    <row r="210" spans="1:73" s="7" customFormat="1" ht="18" customHeight="1" x14ac:dyDescent="0.3">
      <c r="A210" s="24" t="s">
        <v>43</v>
      </c>
      <c r="B210" s="7" t="s">
        <v>44</v>
      </c>
      <c r="C210" s="30">
        <v>630</v>
      </c>
      <c r="D210" s="30">
        <v>541</v>
      </c>
      <c r="E210" s="30">
        <v>289</v>
      </c>
      <c r="F210" s="62">
        <v>398.18</v>
      </c>
      <c r="G210" s="62">
        <v>456.43700000000001</v>
      </c>
      <c r="H210" s="62">
        <v>463.91999999999996</v>
      </c>
      <c r="I210" s="36">
        <v>452.327</v>
      </c>
      <c r="J210" s="103">
        <v>457.20699999999999</v>
      </c>
      <c r="K210" s="36"/>
      <c r="L210" s="36"/>
      <c r="M210" s="36"/>
      <c r="N210" s="24" t="s">
        <v>43</v>
      </c>
      <c r="O210" s="7" t="s">
        <v>44</v>
      </c>
      <c r="P210" s="29">
        <v>155</v>
      </c>
      <c r="Q210" s="29">
        <v>157</v>
      </c>
      <c r="R210" s="29">
        <v>158</v>
      </c>
      <c r="S210" s="30">
        <v>159.55000000000001</v>
      </c>
      <c r="T210" s="30">
        <v>151.41</v>
      </c>
      <c r="U210" s="30">
        <v>151.88</v>
      </c>
      <c r="V210" s="30">
        <v>124.26</v>
      </c>
      <c r="W210" s="30">
        <v>113.84</v>
      </c>
      <c r="X210" s="30">
        <v>96.69</v>
      </c>
      <c r="Y210" s="30">
        <v>40.159999999999997</v>
      </c>
      <c r="Z210" s="30">
        <v>71.64</v>
      </c>
      <c r="AA210" s="30">
        <v>80.11</v>
      </c>
      <c r="AB210" s="30">
        <v>80.58</v>
      </c>
      <c r="AC210" s="30">
        <v>106.17</v>
      </c>
      <c r="AD210" s="30">
        <v>103.79</v>
      </c>
      <c r="AE210" s="30">
        <v>107.64</v>
      </c>
      <c r="AF210" s="30">
        <v>103.11</v>
      </c>
      <c r="AG210" s="30">
        <v>115.017</v>
      </c>
      <c r="AH210" s="30">
        <v>117.46</v>
      </c>
      <c r="AI210" s="30">
        <v>120.85</v>
      </c>
      <c r="AJ210" s="30">
        <v>117.47</v>
      </c>
      <c r="AK210" s="30">
        <v>116.92</v>
      </c>
      <c r="AL210" s="31">
        <v>114</v>
      </c>
      <c r="AM210" s="30">
        <v>115.35</v>
      </c>
      <c r="AN210" s="30">
        <v>109.97</v>
      </c>
      <c r="AO210" s="30">
        <v>115.92700000000001</v>
      </c>
      <c r="AP210" s="30">
        <v>111.76</v>
      </c>
      <c r="AQ210" s="30">
        <v>114.67</v>
      </c>
      <c r="AR210" s="30">
        <v>111.637</v>
      </c>
      <c r="AS210" s="30">
        <v>117.66</v>
      </c>
      <c r="AT210" s="30">
        <v>113.24</v>
      </c>
      <c r="AU210" s="104">
        <v>117.56968338264842</v>
      </c>
      <c r="AW210" s="32" t="s">
        <v>44</v>
      </c>
      <c r="AX210" s="32" t="s">
        <v>43</v>
      </c>
      <c r="AZ210" s="32"/>
      <c r="BB210" s="32" t="s">
        <v>340</v>
      </c>
      <c r="BC210" s="34">
        <f>SUM(AN210:AQ210)</f>
        <v>452.327</v>
      </c>
      <c r="BD210" s="34">
        <f>SUM(AR210:AU210)</f>
        <v>460.10668338264838</v>
      </c>
      <c r="BE210" s="35">
        <f>(BD210-BC210)/ABS(BC210)</f>
        <v>1.7199246082255506E-2</v>
      </c>
      <c r="BF210" s="35">
        <f>(AU210/AP210)^(1/5)-1</f>
        <v>1.0187036723361631E-2</v>
      </c>
    </row>
    <row r="211" spans="1:73" x14ac:dyDescent="0.3">
      <c r="P211" s="95"/>
      <c r="Q211" s="95"/>
      <c r="R211" s="95"/>
      <c r="AI211" s="7"/>
      <c r="AJ211" s="7"/>
      <c r="AK211" s="51"/>
      <c r="AL211" s="51"/>
      <c r="AM211" s="51"/>
      <c r="AN211" s="51"/>
      <c r="AO211" s="51"/>
      <c r="AP211" s="51"/>
      <c r="AQ211" s="51"/>
      <c r="AR211" s="51"/>
      <c r="AS211" s="51"/>
      <c r="AT211" s="51"/>
      <c r="AU211" s="51"/>
      <c r="AV211" s="51"/>
      <c r="AW211"/>
      <c r="AX211" s="32"/>
      <c r="AY211"/>
      <c r="AZ211"/>
      <c r="BE211" s="2"/>
      <c r="BF211" s="2"/>
    </row>
    <row r="212" spans="1:73" x14ac:dyDescent="0.3">
      <c r="AI212"/>
      <c r="AJ212"/>
      <c r="AK212"/>
      <c r="AL212"/>
      <c r="AM212"/>
      <c r="AN212"/>
      <c r="AO212"/>
      <c r="AP212"/>
      <c r="AQ212"/>
      <c r="AR212"/>
      <c r="AS212"/>
      <c r="AT212"/>
      <c r="AU212" s="105" t="s">
        <v>368</v>
      </c>
      <c r="AV212"/>
      <c r="AW212" s="51"/>
      <c r="AX212"/>
      <c r="AY212"/>
      <c r="AZ212"/>
      <c r="BA212" s="7"/>
      <c r="BC212" s="20"/>
      <c r="BD212" s="20"/>
      <c r="BE212" s="20"/>
      <c r="BF212" s="20"/>
      <c r="BG212" s="20"/>
      <c r="BH212" s="2"/>
      <c r="BI212" s="2"/>
      <c r="BJ212" s="2"/>
      <c r="BK212" s="2"/>
      <c r="BL212" s="2"/>
      <c r="BM212" s="2"/>
      <c r="BN212" s="2"/>
      <c r="BO212" s="2"/>
      <c r="BP212" s="2"/>
      <c r="BQ212" s="2"/>
      <c r="BR212" s="2"/>
      <c r="BS212" s="2"/>
      <c r="BT212" s="2"/>
      <c r="BU212" s="2"/>
    </row>
    <row r="213" spans="1:73" x14ac:dyDescent="0.3">
      <c r="AI213"/>
      <c r="AK213"/>
      <c r="AL213"/>
      <c r="AM213"/>
      <c r="AN213"/>
      <c r="AO213"/>
      <c r="AP213"/>
      <c r="AQ213"/>
      <c r="AR213"/>
      <c r="AS213"/>
      <c r="AT213"/>
      <c r="AU213"/>
      <c r="AV213"/>
      <c r="AW213" s="51"/>
      <c r="AX213"/>
      <c r="AY213"/>
      <c r="AZ213"/>
      <c r="BA213" s="7"/>
      <c r="BC213" s="20"/>
      <c r="BD213" s="20"/>
      <c r="BE213" s="20"/>
      <c r="BF213" s="20"/>
      <c r="BG213" s="20"/>
      <c r="BH213" s="2"/>
      <c r="BI213" s="2"/>
      <c r="BJ213" s="2"/>
      <c r="BK213" s="2"/>
      <c r="BL213" s="2"/>
      <c r="BM213" s="2"/>
      <c r="BN213" s="2"/>
      <c r="BO213" s="2"/>
      <c r="BP213" s="2"/>
      <c r="BQ213" s="2"/>
      <c r="BR213" s="2"/>
      <c r="BS213" s="2"/>
      <c r="BT213" s="2"/>
      <c r="BU213" s="2"/>
    </row>
    <row r="214" spans="1:73" x14ac:dyDescent="0.3">
      <c r="AI214"/>
      <c r="AJ214"/>
      <c r="AK214"/>
      <c r="AL214"/>
      <c r="AM214"/>
      <c r="AN214"/>
      <c r="AO214"/>
      <c r="AP214"/>
      <c r="AQ214"/>
      <c r="AR214"/>
      <c r="AS214"/>
      <c r="AT214"/>
      <c r="AU214"/>
      <c r="AV214"/>
      <c r="AW214" s="51"/>
      <c r="AX214"/>
      <c r="AY214"/>
      <c r="AZ214"/>
      <c r="BA214" s="7"/>
      <c r="BC214" s="20"/>
      <c r="BD214" s="20"/>
      <c r="BE214" s="20"/>
      <c r="BF214" s="20"/>
      <c r="BG214" s="20"/>
      <c r="BH214" s="2"/>
      <c r="BI214" s="2"/>
      <c r="BJ214" s="2"/>
      <c r="BK214" s="2"/>
      <c r="BL214" s="2"/>
      <c r="BM214" s="2"/>
      <c r="BN214" s="2"/>
      <c r="BO214" s="2"/>
      <c r="BP214" s="2"/>
      <c r="BQ214" s="2"/>
      <c r="BR214" s="2"/>
      <c r="BS214" s="2"/>
      <c r="BT214" s="2"/>
      <c r="BU214" s="2"/>
    </row>
    <row r="215" spans="1:73" x14ac:dyDescent="0.3">
      <c r="AI215"/>
      <c r="AJ215"/>
      <c r="AK215"/>
      <c r="AL215"/>
      <c r="AM215"/>
      <c r="AN215"/>
      <c r="AO215"/>
      <c r="AP215"/>
      <c r="AQ215"/>
      <c r="AR215"/>
      <c r="AS215"/>
      <c r="AT215"/>
      <c r="AU215"/>
      <c r="AV215"/>
      <c r="AW215" s="51"/>
      <c r="AX215"/>
      <c r="AY215"/>
      <c r="AZ215"/>
      <c r="BA215" s="7"/>
      <c r="BC215" s="20"/>
      <c r="BD215" s="20"/>
      <c r="BE215" s="20"/>
      <c r="BF215" s="20"/>
      <c r="BG215" s="20"/>
      <c r="BH215" s="2"/>
      <c r="BI215" s="2"/>
      <c r="BJ215" s="2"/>
      <c r="BK215" s="2"/>
      <c r="BL215" s="2"/>
      <c r="BM215" s="2"/>
      <c r="BN215" s="2"/>
      <c r="BO215" s="2"/>
      <c r="BP215" s="2"/>
      <c r="BQ215" s="2"/>
      <c r="BR215" s="2"/>
      <c r="BS215" s="2"/>
      <c r="BT215" s="2"/>
      <c r="BU215" s="2"/>
    </row>
    <row r="216" spans="1:73" x14ac:dyDescent="0.3">
      <c r="O216" s="7"/>
      <c r="P216" s="106" t="s">
        <v>1</v>
      </c>
      <c r="Q216" s="106" t="s">
        <v>2</v>
      </c>
      <c r="R216" s="106" t="s">
        <v>3</v>
      </c>
      <c r="S216" s="106" t="s">
        <v>4</v>
      </c>
      <c r="T216" s="106" t="s">
        <v>1</v>
      </c>
      <c r="U216" s="107" t="s">
        <v>2</v>
      </c>
      <c r="V216" s="107" t="s">
        <v>3</v>
      </c>
      <c r="W216" s="106" t="s">
        <v>4</v>
      </c>
      <c r="X216" s="106" t="s">
        <v>1</v>
      </c>
      <c r="Y216" s="106" t="s">
        <v>2</v>
      </c>
      <c r="Z216" s="106" t="s">
        <v>3</v>
      </c>
      <c r="AA216" s="106" t="s">
        <v>4</v>
      </c>
      <c r="AB216" s="106" t="s">
        <v>1</v>
      </c>
      <c r="AC216" s="106" t="s">
        <v>2</v>
      </c>
      <c r="AD216" s="106" t="s">
        <v>3</v>
      </c>
      <c r="AE216" s="106" t="s">
        <v>4</v>
      </c>
      <c r="AF216" s="106" t="s">
        <v>1</v>
      </c>
      <c r="AG216" s="106" t="s">
        <v>2</v>
      </c>
      <c r="AH216" s="106" t="s">
        <v>3</v>
      </c>
      <c r="AI216" s="106" t="s">
        <v>4</v>
      </c>
      <c r="AJ216" s="106" t="s">
        <v>1</v>
      </c>
      <c r="AK216" s="106" t="s">
        <v>2</v>
      </c>
      <c r="AL216" s="106" t="s">
        <v>3</v>
      </c>
      <c r="AM216" s="106" t="s">
        <v>4</v>
      </c>
      <c r="AN216" s="106" t="s">
        <v>1</v>
      </c>
      <c r="AO216" s="106" t="s">
        <v>2</v>
      </c>
      <c r="AP216" s="106" t="s">
        <v>3</v>
      </c>
      <c r="AQ216" s="106" t="s">
        <v>4</v>
      </c>
      <c r="AR216" s="106" t="s">
        <v>1</v>
      </c>
      <c r="AS216" s="106" t="s">
        <v>2</v>
      </c>
      <c r="AT216" s="106" t="s">
        <v>3</v>
      </c>
      <c r="AU216" s="106" t="s">
        <v>4</v>
      </c>
      <c r="AV216"/>
      <c r="AW216"/>
      <c r="AX216"/>
      <c r="AY216"/>
      <c r="AZ216"/>
      <c r="BA216"/>
      <c r="BB216"/>
      <c r="BC216"/>
      <c r="BD216"/>
    </row>
    <row r="217" spans="1:73" x14ac:dyDescent="0.3">
      <c r="O217" s="2"/>
      <c r="P217" s="20">
        <v>2018</v>
      </c>
      <c r="Q217" s="20">
        <v>2018</v>
      </c>
      <c r="R217" s="20">
        <v>2018</v>
      </c>
      <c r="S217" s="20">
        <v>2018</v>
      </c>
      <c r="T217" s="20">
        <v>2019</v>
      </c>
      <c r="U217" s="108">
        <v>2019</v>
      </c>
      <c r="V217" s="108">
        <v>2019</v>
      </c>
      <c r="W217" s="20">
        <v>2019</v>
      </c>
      <c r="X217" s="20">
        <v>2020</v>
      </c>
      <c r="Y217" s="20">
        <v>2020</v>
      </c>
      <c r="Z217" s="20">
        <v>2020</v>
      </c>
      <c r="AA217" s="20">
        <v>2020</v>
      </c>
      <c r="AB217" s="20">
        <v>2021</v>
      </c>
      <c r="AC217" s="20">
        <v>2021</v>
      </c>
      <c r="AD217" s="20">
        <v>2021</v>
      </c>
      <c r="AE217" s="20">
        <v>2021</v>
      </c>
      <c r="AF217" s="20">
        <v>2022</v>
      </c>
      <c r="AG217" s="20">
        <v>2022</v>
      </c>
      <c r="AH217" s="20">
        <v>2022</v>
      </c>
      <c r="AI217" s="20">
        <v>2022</v>
      </c>
      <c r="AJ217" s="20">
        <v>2023</v>
      </c>
      <c r="AK217" s="20">
        <v>2023</v>
      </c>
      <c r="AL217" s="20">
        <v>2023</v>
      </c>
      <c r="AM217" s="20">
        <v>2023</v>
      </c>
      <c r="AN217" s="20">
        <v>2024</v>
      </c>
      <c r="AO217" s="20">
        <v>2024</v>
      </c>
      <c r="AP217" s="20">
        <v>2024</v>
      </c>
      <c r="AQ217" s="20">
        <v>2024</v>
      </c>
      <c r="AR217" s="20">
        <v>2025</v>
      </c>
      <c r="AS217" s="20">
        <v>2025</v>
      </c>
      <c r="AT217" s="20">
        <v>2025</v>
      </c>
      <c r="AU217" s="20">
        <v>2025</v>
      </c>
      <c r="AV217"/>
      <c r="AW217"/>
      <c r="AX217"/>
      <c r="AY217"/>
      <c r="AZ217"/>
      <c r="BA217"/>
      <c r="BB217"/>
      <c r="BC217"/>
      <c r="BD217"/>
    </row>
    <row r="218" spans="1:73" x14ac:dyDescent="0.3">
      <c r="O218" s="7" t="s">
        <v>369</v>
      </c>
      <c r="P218" s="109">
        <v>1.2317</v>
      </c>
      <c r="Q218" s="109">
        <v>1.1684000000000001</v>
      </c>
      <c r="R218" s="109">
        <v>1.1620999999999999</v>
      </c>
      <c r="S218" s="109">
        <v>1.1395999999999999</v>
      </c>
      <c r="T218" s="109">
        <v>1.1232</v>
      </c>
      <c r="U218" s="110">
        <v>1.1389</v>
      </c>
      <c r="V218" s="110">
        <v>1.0980000000000001</v>
      </c>
      <c r="W218" s="111">
        <v>1.1160000000000001</v>
      </c>
      <c r="X218" s="109">
        <v>1.0805</v>
      </c>
      <c r="Y218" s="109">
        <v>1.1245000000000001</v>
      </c>
      <c r="Z218" s="109">
        <v>1.1717</v>
      </c>
      <c r="AA218" s="112">
        <v>1.2135</v>
      </c>
      <c r="AB218" s="112">
        <v>1.1758999999999999</v>
      </c>
      <c r="AC218" s="112">
        <v>1.1865000000000001</v>
      </c>
      <c r="AD218" s="109">
        <v>1.1595</v>
      </c>
      <c r="AE218" s="109">
        <v>1.1371</v>
      </c>
      <c r="AF218" s="109">
        <v>1.1048</v>
      </c>
      <c r="AG218" s="109">
        <v>1.0428999999999999</v>
      </c>
      <c r="AH218" s="109">
        <v>1.0087295454866414</v>
      </c>
      <c r="AI218" s="109">
        <v>1.0727</v>
      </c>
      <c r="AJ218" s="109">
        <v>1.08</v>
      </c>
      <c r="AK218" s="109">
        <v>1.0915999999999999</v>
      </c>
      <c r="AL218" s="113">
        <v>1.0587</v>
      </c>
      <c r="AM218" s="109">
        <v>1.1051</v>
      </c>
      <c r="AN218" s="109">
        <v>1.0797000000000001</v>
      </c>
      <c r="AO218" s="109">
        <v>1.07152</v>
      </c>
      <c r="AP218" s="109">
        <v>1.1168899999999999</v>
      </c>
      <c r="AQ218" s="109">
        <v>1.0409600000000001</v>
      </c>
      <c r="AR218" s="114">
        <v>1.0824</v>
      </c>
      <c r="AS218" s="114">
        <v>1.1728700000000001</v>
      </c>
      <c r="AT218" s="109">
        <v>1.1731199999999999</v>
      </c>
      <c r="AU218" s="112">
        <v>1.17466</v>
      </c>
      <c r="AV218"/>
      <c r="AW218" s="7" t="s">
        <v>369</v>
      </c>
      <c r="AX218"/>
      <c r="AY218"/>
      <c r="AZ218"/>
      <c r="BA218"/>
      <c r="BB218"/>
      <c r="BC218"/>
      <c r="BD218"/>
    </row>
    <row r="219" spans="1:73" x14ac:dyDescent="0.3">
      <c r="O219" s="7" t="s">
        <v>370</v>
      </c>
      <c r="P219" s="109">
        <v>9.4000000000000004E-3</v>
      </c>
      <c r="Q219" s="109">
        <v>8.9999999999999993E-3</v>
      </c>
      <c r="R219" s="109">
        <v>8.8000000000000005E-3</v>
      </c>
      <c r="S219" s="109">
        <v>9.1000000000000004E-3</v>
      </c>
      <c r="T219" s="109">
        <v>8.9999999999999993E-3</v>
      </c>
      <c r="U219" s="109">
        <v>9.2999999999999992E-3</v>
      </c>
      <c r="V219" s="110">
        <v>9.2999999999999992E-3</v>
      </c>
      <c r="W219" s="110">
        <v>9.1000000000000004E-3</v>
      </c>
      <c r="X219" s="109">
        <v>9.2999999999999992E-3</v>
      </c>
      <c r="Y219" s="115">
        <v>9.2999999999999992E-3</v>
      </c>
      <c r="Z219" s="115">
        <v>9.4999999999999998E-3</v>
      </c>
      <c r="AA219" s="112">
        <v>9.7000000000000003E-3</v>
      </c>
      <c r="AB219" s="112">
        <v>9.1000000000000004E-3</v>
      </c>
      <c r="AC219" s="112">
        <v>8.9999999999999993E-3</v>
      </c>
      <c r="AD219" s="109">
        <v>8.9999999999999993E-3</v>
      </c>
      <c r="AE219" s="109">
        <v>8.6999999999999994E-3</v>
      </c>
      <c r="AF219" s="109">
        <v>8.2000000000000007E-3</v>
      </c>
      <c r="AG219" s="109">
        <v>7.4000000000000003E-3</v>
      </c>
      <c r="AH219" s="109">
        <v>6.8999999999999999E-3</v>
      </c>
      <c r="AI219" s="109">
        <v>7.6303899999999999E-3</v>
      </c>
      <c r="AJ219" s="109">
        <v>7.6E-3</v>
      </c>
      <c r="AK219" s="113">
        <v>6.8999999999999999E-3</v>
      </c>
      <c r="AL219" s="116">
        <v>6.7000000000000002E-3</v>
      </c>
      <c r="AM219" s="109">
        <v>7.0904799999999997E-3</v>
      </c>
      <c r="AN219" s="109">
        <v>6.6056400000000003E-3</v>
      </c>
      <c r="AO219" s="115">
        <v>6.2157100000000002E-3</v>
      </c>
      <c r="AP219" s="115">
        <v>7.0018499999999996E-3</v>
      </c>
      <c r="AQ219" s="109">
        <v>6.3610899999999998E-3</v>
      </c>
      <c r="AR219" s="114">
        <v>6.6856299999999997E-3</v>
      </c>
      <c r="AS219" s="114">
        <v>6.93298E-3</v>
      </c>
      <c r="AT219" s="109">
        <v>6.7287400000000004E-3</v>
      </c>
      <c r="AU219" s="112">
        <v>6.39318E-3</v>
      </c>
      <c r="AV219"/>
      <c r="AW219" s="7" t="s">
        <v>370</v>
      </c>
      <c r="AX219"/>
      <c r="AY219"/>
      <c r="AZ219"/>
      <c r="BA219"/>
      <c r="BB219"/>
      <c r="BC219"/>
      <c r="BD219"/>
    </row>
    <row r="220" spans="1:73" x14ac:dyDescent="0.3">
      <c r="O220" s="7" t="s">
        <v>371</v>
      </c>
      <c r="P220" s="109">
        <v>9.3999999999999997E-4</v>
      </c>
      <c r="Q220" s="109">
        <v>8.9999999999999998E-4</v>
      </c>
      <c r="R220" s="109">
        <v>8.9999999999999998E-4</v>
      </c>
      <c r="S220" s="109">
        <v>8.9999999999999998E-4</v>
      </c>
      <c r="T220" s="109">
        <v>8.8000000000000003E-4</v>
      </c>
      <c r="U220" s="109">
        <v>8.5999999999999998E-4</v>
      </c>
      <c r="V220" s="110">
        <v>8.3000000000000001E-4</v>
      </c>
      <c r="W220" s="110">
        <v>8.5999999999999998E-4</v>
      </c>
      <c r="X220" s="109">
        <v>8.1999999999999998E-4</v>
      </c>
      <c r="Y220" s="113">
        <v>8.0000000000000004E-4</v>
      </c>
      <c r="Z220" s="113">
        <v>8.4999999999999995E-4</v>
      </c>
      <c r="AA220" s="117">
        <v>8.4000000000000003E-4</v>
      </c>
      <c r="AB220" s="117">
        <v>8.8000000000000003E-4</v>
      </c>
      <c r="AC220" s="117">
        <v>8.8999999999999995E-4</v>
      </c>
      <c r="AD220" s="117">
        <v>8.4999999999999995E-4</v>
      </c>
      <c r="AE220" s="117">
        <v>8.4000000000000003E-4</v>
      </c>
      <c r="AF220" s="117">
        <v>8.1999999999999998E-4</v>
      </c>
      <c r="AG220" s="117">
        <v>7.7999999999999999E-4</v>
      </c>
      <c r="AH220" s="117">
        <v>6.9999999999999999E-4</v>
      </c>
      <c r="AI220" s="117">
        <v>7.91989E-4</v>
      </c>
      <c r="AJ220" s="117">
        <v>7.6999999999999996E-4</v>
      </c>
      <c r="AK220" s="117">
        <v>7.6000000000000004E-4</v>
      </c>
      <c r="AL220" s="117">
        <v>7.3999999999999999E-4</v>
      </c>
      <c r="AM220" s="109">
        <v>7.7209900000000005E-4</v>
      </c>
      <c r="AN220" s="109">
        <v>7.2400100000000005E-4</v>
      </c>
      <c r="AO220" s="113">
        <v>7.4308999999999996E-4</v>
      </c>
      <c r="AP220" s="113">
        <v>7.6325000000000004E-4</v>
      </c>
      <c r="AQ220" s="109">
        <v>6.7860499999999999E-4</v>
      </c>
      <c r="AR220" s="114">
        <v>6.8094800000000001E-4</v>
      </c>
      <c r="AS220" s="114">
        <v>7.38417E-4</v>
      </c>
      <c r="AT220" s="109">
        <v>7.1436399999999999E-4</v>
      </c>
      <c r="AU220" s="112">
        <v>6.9369699999999996E-4</v>
      </c>
      <c r="AV220"/>
      <c r="AW220" s="7" t="s">
        <v>371</v>
      </c>
      <c r="AX220"/>
      <c r="AY220"/>
      <c r="AZ220"/>
      <c r="BA220"/>
      <c r="BB220"/>
      <c r="BC220"/>
      <c r="BD220"/>
    </row>
    <row r="221" spans="1:73" x14ac:dyDescent="0.3">
      <c r="O221" s="7" t="s">
        <v>372</v>
      </c>
      <c r="P221" s="109">
        <v>0.15942352453528044</v>
      </c>
      <c r="Q221" s="109">
        <v>0.15112588786459122</v>
      </c>
      <c r="R221" s="109">
        <v>0.14558159848595137</v>
      </c>
      <c r="S221" s="109">
        <v>0.14538687447297258</v>
      </c>
      <c r="T221" s="109">
        <v>0.14898466947751077</v>
      </c>
      <c r="U221" s="109">
        <v>0.14562824022834508</v>
      </c>
      <c r="V221" s="110">
        <v>0.14039422698938619</v>
      </c>
      <c r="W221" s="109">
        <v>0.14356471179384109</v>
      </c>
      <c r="X221" s="109">
        <v>0.14099798372883268</v>
      </c>
      <c r="Y221" s="113">
        <v>0.14151477414242047</v>
      </c>
      <c r="Z221" s="113">
        <v>0.14725588655406502</v>
      </c>
      <c r="AA221" s="117">
        <v>0.1530690341343946</v>
      </c>
      <c r="AB221" s="117">
        <v>0.15226494099733537</v>
      </c>
      <c r="AC221" s="117">
        <v>0.15448787270199291</v>
      </c>
      <c r="AD221" s="117">
        <v>0.15511812245024587</v>
      </c>
      <c r="AE221" s="117">
        <v>0.15733413049292783</v>
      </c>
      <c r="AF221" s="117">
        <v>0.15715610315726611</v>
      </c>
      <c r="AG221" s="117">
        <v>0.14923145799134457</v>
      </c>
      <c r="AH221" s="117">
        <v>0.14019999999999999</v>
      </c>
      <c r="AI221" s="117">
        <v>0.144619</v>
      </c>
      <c r="AJ221" s="117">
        <v>0.15</v>
      </c>
      <c r="AK221" s="117">
        <v>0.14000000000000001</v>
      </c>
      <c r="AL221" s="117">
        <v>0.13669999999999999</v>
      </c>
      <c r="AM221" s="109">
        <v>0.140985</v>
      </c>
      <c r="AN221" s="112">
        <v>0.13849900000000001</v>
      </c>
      <c r="AO221" s="113">
        <v>0.137603</v>
      </c>
      <c r="AP221" s="113">
        <v>0.14263200000000001</v>
      </c>
      <c r="AQ221" s="109">
        <v>0.13700000000000001</v>
      </c>
      <c r="AR221" s="114">
        <v>0.13768900000000001</v>
      </c>
      <c r="AS221" s="114">
        <v>0.139567</v>
      </c>
      <c r="AT221" s="109">
        <v>0.14043600000000001</v>
      </c>
      <c r="AU221" s="112">
        <v>0.142512</v>
      </c>
      <c r="AV221"/>
      <c r="AW221" s="7" t="s">
        <v>372</v>
      </c>
      <c r="AX221"/>
      <c r="AY221"/>
      <c r="AZ221"/>
      <c r="BA221"/>
      <c r="BB221"/>
      <c r="BC221"/>
      <c r="BD221"/>
    </row>
    <row r="222" spans="1:73" s="2" customFormat="1" x14ac:dyDescent="0.3">
      <c r="A222" s="24"/>
      <c r="B222" s="55"/>
      <c r="C222" s="31"/>
      <c r="D222" s="31"/>
      <c r="E222" s="31"/>
      <c r="F222" s="31"/>
      <c r="G222" s="27"/>
      <c r="H222" s="27"/>
      <c r="I222" s="27"/>
      <c r="J222" s="7"/>
      <c r="K222" s="7"/>
      <c r="L222" s="7"/>
      <c r="M222" s="7"/>
      <c r="N222" s="24"/>
      <c r="O222" s="7" t="s">
        <v>373</v>
      </c>
      <c r="P222" s="118">
        <v>1.40795</v>
      </c>
      <c r="Q222" s="118">
        <v>1.3207899999999999</v>
      </c>
      <c r="R222" s="118">
        <v>1.3021</v>
      </c>
      <c r="S222" s="118">
        <v>1.2704500000000001</v>
      </c>
      <c r="T222" s="118">
        <v>1.30419</v>
      </c>
      <c r="U222" s="118">
        <v>1.26993</v>
      </c>
      <c r="V222" s="118">
        <v>1.22899</v>
      </c>
      <c r="W222" s="118">
        <v>1.30911</v>
      </c>
      <c r="X222" s="118">
        <v>1.24516</v>
      </c>
      <c r="Y222" s="118">
        <v>1.2341800000000001</v>
      </c>
      <c r="Z222" s="118">
        <v>1.28738</v>
      </c>
      <c r="AA222" s="118">
        <v>1.3465199999999999</v>
      </c>
      <c r="AB222" s="118">
        <v>1.3775599999999999</v>
      </c>
      <c r="AC222" s="118">
        <v>1.38405</v>
      </c>
      <c r="AD222" s="118">
        <v>1.3540700000000001</v>
      </c>
      <c r="AE222" s="118">
        <v>1.34335</v>
      </c>
      <c r="AF222" s="118">
        <v>1.3137000000000001</v>
      </c>
      <c r="AG222" s="118">
        <v>1.21296</v>
      </c>
      <c r="AH222" s="118">
        <v>1.08355</v>
      </c>
      <c r="AI222" s="118">
        <v>1.2736700000000001</v>
      </c>
      <c r="AJ222" s="118">
        <v>1.23865</v>
      </c>
      <c r="AK222" s="118">
        <v>1.2844899999999999</v>
      </c>
      <c r="AL222" s="118">
        <v>1.2197499999999999</v>
      </c>
      <c r="AM222" s="118">
        <v>1.2736700000000001</v>
      </c>
      <c r="AN222" s="118">
        <v>1.2622599999999999</v>
      </c>
      <c r="AO222" s="118">
        <v>1.26467</v>
      </c>
      <c r="AP222" s="118">
        <v>1.3382799999999999</v>
      </c>
      <c r="AQ222" s="118">
        <v>1.2558</v>
      </c>
      <c r="AR222" s="118">
        <v>1.2940400000000001</v>
      </c>
      <c r="AS222" s="118">
        <v>1.37134</v>
      </c>
      <c r="AT222" s="109">
        <v>1.34354</v>
      </c>
      <c r="AU222" s="112">
        <v>1.3466499999999999</v>
      </c>
      <c r="AV222" s="118"/>
      <c r="AW222" s="7" t="s">
        <v>373</v>
      </c>
      <c r="AX222" s="7"/>
      <c r="AZ222" s="34"/>
      <c r="BA222" s="34"/>
      <c r="BB222" s="78"/>
      <c r="BC222" s="78"/>
    </row>
    <row r="223" spans="1:73" s="2" customFormat="1" x14ac:dyDescent="0.25">
      <c r="A223" s="24"/>
      <c r="B223" s="55"/>
      <c r="C223" s="31"/>
      <c r="D223" s="31"/>
      <c r="E223" s="31"/>
      <c r="F223" s="31"/>
      <c r="G223" s="27"/>
      <c r="H223" s="27"/>
      <c r="I223" s="27"/>
      <c r="J223" s="7"/>
      <c r="K223" s="7"/>
      <c r="L223" s="7"/>
      <c r="M223" s="7"/>
      <c r="N223" s="24"/>
      <c r="O223" s="7" t="s">
        <v>374</v>
      </c>
      <c r="P223" s="109">
        <v>0.30259999999999998</v>
      </c>
      <c r="Q223" s="109">
        <v>0.25790000000000002</v>
      </c>
      <c r="R223" s="109">
        <v>0.2467</v>
      </c>
      <c r="S223" s="109">
        <v>0.2576</v>
      </c>
      <c r="T223" s="109">
        <v>0.25480000000000003</v>
      </c>
      <c r="U223" s="109">
        <v>0.25969999999999999</v>
      </c>
      <c r="V223" s="109">
        <v>0.24060000000000001</v>
      </c>
      <c r="W223" s="109">
        <v>0.24879999999999999</v>
      </c>
      <c r="X223" s="109">
        <v>0.192</v>
      </c>
      <c r="Y223" s="113">
        <v>0.183</v>
      </c>
      <c r="Z223" s="113">
        <v>0.1782</v>
      </c>
      <c r="AA223" s="117">
        <v>0.1925</v>
      </c>
      <c r="AB223" s="117">
        <v>0.17749999999999999</v>
      </c>
      <c r="AC223" s="117">
        <v>0.20119999999999999</v>
      </c>
      <c r="AD223" s="117">
        <v>0.18379999999999999</v>
      </c>
      <c r="AE223" s="117">
        <v>0.17949999999999999</v>
      </c>
      <c r="AF223" s="117">
        <v>0.21099999999999999</v>
      </c>
      <c r="AG223" s="117">
        <v>0.1903</v>
      </c>
      <c r="AH223" s="117">
        <v>0.18440000000000001</v>
      </c>
      <c r="AI223" s="117">
        <v>0.189195</v>
      </c>
      <c r="AJ223" s="117">
        <v>0.19</v>
      </c>
      <c r="AK223" s="117">
        <v>0.21</v>
      </c>
      <c r="AL223" s="117">
        <v>0.19869999999999999</v>
      </c>
      <c r="AM223" s="109">
        <v>0.20610899999999999</v>
      </c>
      <c r="AN223" s="112">
        <v>0.19937299999999999</v>
      </c>
      <c r="AO223" s="113">
        <v>0.17870800000000001</v>
      </c>
      <c r="AP223" s="113">
        <v>0.184028</v>
      </c>
      <c r="AQ223" s="109">
        <v>0.16169700000000001</v>
      </c>
      <c r="AR223" s="114">
        <v>0.17375099999999999</v>
      </c>
      <c r="AS223" s="114">
        <v>0.183168</v>
      </c>
      <c r="AT223" s="118">
        <v>0.18790100000000001</v>
      </c>
      <c r="AU223" s="118">
        <v>0.18251800000000001</v>
      </c>
      <c r="AV223" s="114"/>
      <c r="AW223" s="7" t="s">
        <v>374</v>
      </c>
      <c r="AX223" s="7"/>
      <c r="AZ223" s="34"/>
      <c r="BA223" s="34"/>
      <c r="BB223" s="78"/>
      <c r="BC223" s="78"/>
    </row>
    <row r="224" spans="1:73" x14ac:dyDescent="0.3">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119"/>
      <c r="AK224" s="71"/>
      <c r="AL224" s="71"/>
      <c r="AM224" s="71"/>
      <c r="AN224" s="71"/>
      <c r="AO224" s="71"/>
      <c r="AP224" s="71"/>
      <c r="AQ224" s="71"/>
      <c r="AR224" s="71"/>
      <c r="AS224" s="71"/>
      <c r="AT224" s="71"/>
      <c r="AU224" s="71"/>
      <c r="AV224" s="71"/>
      <c r="AW224" s="71"/>
      <c r="AX224"/>
      <c r="AY224"/>
      <c r="AZ224"/>
      <c r="BE224" s="2"/>
      <c r="BF224" s="2"/>
    </row>
    <row r="225" spans="1:60" x14ac:dyDescent="0.3">
      <c r="O225" s="7"/>
      <c r="P225" s="118"/>
      <c r="Q225" s="118"/>
      <c r="R225" s="118"/>
      <c r="S225" s="118"/>
      <c r="T225" s="118"/>
      <c r="U225" s="118"/>
      <c r="V225" s="118"/>
      <c r="W225" s="118"/>
      <c r="X225" s="118"/>
      <c r="Y225" s="118"/>
      <c r="Z225" s="118"/>
      <c r="AA225" s="118"/>
      <c r="AB225" s="118"/>
      <c r="AC225" s="118"/>
      <c r="AD225" s="118"/>
      <c r="AE225" s="118"/>
      <c r="AF225" s="118"/>
      <c r="AG225" s="118"/>
      <c r="AH225" s="118"/>
      <c r="AI225" s="118"/>
      <c r="AJ225" s="118"/>
      <c r="AK225" s="118"/>
      <c r="AL225" s="118"/>
      <c r="AM225" s="118"/>
      <c r="AN225" s="118"/>
      <c r="AO225" s="118"/>
      <c r="AP225" s="118"/>
      <c r="AQ225" s="118"/>
      <c r="AR225" s="118"/>
      <c r="AS225" s="118"/>
      <c r="AT225" s="118"/>
      <c r="AU225" s="7"/>
      <c r="AV225" s="7"/>
      <c r="AW225" s="7"/>
      <c r="AX225" s="7"/>
      <c r="AY225" s="7"/>
      <c r="AZ225" s="7"/>
      <c r="BE225" s="2"/>
      <c r="BF225" s="2"/>
    </row>
    <row r="226" spans="1:60" x14ac:dyDescent="0.3">
      <c r="AL226" s="2"/>
      <c r="AM226" s="2"/>
      <c r="BE226" s="2"/>
      <c r="BF226" s="2"/>
    </row>
    <row r="227" spans="1:60" x14ac:dyDescent="0.3">
      <c r="A227" s="4"/>
      <c r="B227" s="4"/>
      <c r="AL227" s="2"/>
      <c r="AM227" s="2"/>
      <c r="BE227" s="2"/>
    </row>
    <row r="228" spans="1:60" x14ac:dyDescent="0.3">
      <c r="A228" s="7"/>
      <c r="B228" s="7" t="s">
        <v>375</v>
      </c>
      <c r="AL228" s="2"/>
      <c r="AM228" s="2"/>
      <c r="BE228" s="2"/>
    </row>
    <row r="229" spans="1:60" x14ac:dyDescent="0.3">
      <c r="AL229" s="2"/>
      <c r="AM229" s="2"/>
      <c r="BE229" s="2"/>
    </row>
    <row r="230" spans="1:60" x14ac:dyDescent="0.3">
      <c r="AL230" s="2"/>
      <c r="AM230" s="2"/>
    </row>
    <row r="231" spans="1:60" x14ac:dyDescent="0.3">
      <c r="AL231" s="2"/>
      <c r="AM231" s="2"/>
    </row>
    <row r="232" spans="1:60" x14ac:dyDescent="0.3">
      <c r="AL232" s="2"/>
      <c r="AM232" s="2"/>
      <c r="BA232" s="5"/>
      <c r="BE232" s="2"/>
      <c r="BF232" s="2"/>
      <c r="BG232" s="2"/>
      <c r="BH232" s="2"/>
    </row>
    <row r="233" spans="1:60" x14ac:dyDescent="0.3">
      <c r="AL233" s="2"/>
      <c r="AM233" s="2"/>
      <c r="BA233" s="120"/>
      <c r="BB233" s="2" t="s">
        <v>376</v>
      </c>
      <c r="BC233" s="2" t="s">
        <v>377</v>
      </c>
      <c r="BD233" s="2" t="s">
        <v>378</v>
      </c>
      <c r="BE233" s="2" t="s">
        <v>41</v>
      </c>
      <c r="BF233" s="2" t="s">
        <v>42</v>
      </c>
      <c r="BG233" s="2"/>
      <c r="BH233" s="2"/>
    </row>
    <row r="234" spans="1:60" x14ac:dyDescent="0.3">
      <c r="AL234" s="2"/>
      <c r="AM234" s="2"/>
      <c r="BA234" s="120">
        <v>1</v>
      </c>
      <c r="BB234" s="2" t="s">
        <v>44</v>
      </c>
      <c r="BC234" s="2" t="s">
        <v>379</v>
      </c>
      <c r="BD234" s="2" t="s">
        <v>45</v>
      </c>
      <c r="BE234" s="121">
        <f>BE4</f>
        <v>4.2961434297775582E-2</v>
      </c>
      <c r="BF234" s="121">
        <f>BF4</f>
        <v>1.7887227272861184E-2</v>
      </c>
      <c r="BG234" s="2"/>
      <c r="BH234" s="2"/>
    </row>
    <row r="235" spans="1:60" x14ac:dyDescent="0.3">
      <c r="AL235" s="2"/>
      <c r="AM235" s="2"/>
      <c r="BA235" s="120">
        <v>2</v>
      </c>
      <c r="BB235" s="2" t="s">
        <v>69</v>
      </c>
      <c r="BC235" s="2" t="s">
        <v>379</v>
      </c>
      <c r="BD235" s="2" t="s">
        <v>72</v>
      </c>
      <c r="BE235" s="121">
        <f t="shared" ref="BE235:BF237" si="146">BE23</f>
        <v>4.5361945771062541E-2</v>
      </c>
      <c r="BF235" s="121">
        <f t="shared" si="146"/>
        <v>1.9289695319166578E-2</v>
      </c>
      <c r="BG235" s="2"/>
      <c r="BH235" s="2"/>
    </row>
    <row r="236" spans="1:60" x14ac:dyDescent="0.3">
      <c r="AL236" s="2"/>
      <c r="AM236" s="2"/>
      <c r="BA236" s="120">
        <v>3</v>
      </c>
      <c r="BB236" s="2" t="s">
        <v>69</v>
      </c>
      <c r="BC236" s="2" t="s">
        <v>379</v>
      </c>
      <c r="BD236" s="2" t="s">
        <v>74</v>
      </c>
      <c r="BE236" s="121">
        <f t="shared" si="146"/>
        <v>-2.3310180502169132E-2</v>
      </c>
      <c r="BF236" s="121">
        <f t="shared" si="146"/>
        <v>1.5931178122619016E-4</v>
      </c>
      <c r="BG236" s="2"/>
      <c r="BH236" s="2"/>
    </row>
    <row r="237" spans="1:60" x14ac:dyDescent="0.3">
      <c r="AL237" s="2"/>
      <c r="AM237" s="2"/>
      <c r="BA237" s="120">
        <v>4</v>
      </c>
      <c r="BB237" s="2" t="s">
        <v>69</v>
      </c>
      <c r="BC237" s="2" t="s">
        <v>379</v>
      </c>
      <c r="BD237" s="2" t="s">
        <v>76</v>
      </c>
      <c r="BE237" s="121">
        <f t="shared" si="146"/>
        <v>0.16029411764705886</v>
      </c>
      <c r="BF237" s="121">
        <f t="shared" si="146"/>
        <v>3.5002220240370141E-2</v>
      </c>
      <c r="BG237" s="2"/>
      <c r="BH237" s="2"/>
    </row>
    <row r="238" spans="1:60" x14ac:dyDescent="0.3">
      <c r="AL238" s="2"/>
      <c r="AM238" s="2"/>
      <c r="BA238" s="120">
        <v>5</v>
      </c>
      <c r="BB238" s="2" t="s">
        <v>79</v>
      </c>
      <c r="BC238" s="2" t="s">
        <v>379</v>
      </c>
      <c r="BD238" s="2" t="s">
        <v>81</v>
      </c>
      <c r="BE238" s="121">
        <f t="shared" ref="BE238:BF240" si="147">BE30</f>
        <v>2.3041115706311111E-2</v>
      </c>
      <c r="BF238" s="121">
        <f t="shared" si="147"/>
        <v>1.7003278007729605E-2</v>
      </c>
      <c r="BG238" s="2"/>
      <c r="BH238" s="2"/>
    </row>
    <row r="239" spans="1:60" x14ac:dyDescent="0.3">
      <c r="AL239" s="2"/>
      <c r="AM239" s="2"/>
      <c r="BA239" s="120">
        <v>6</v>
      </c>
      <c r="BB239" s="2" t="s">
        <v>79</v>
      </c>
      <c r="BC239" s="2" t="s">
        <v>379</v>
      </c>
      <c r="BD239" s="2" t="s">
        <v>83</v>
      </c>
      <c r="BE239" s="121">
        <f t="shared" si="147"/>
        <v>8.8227705427830469E-2</v>
      </c>
      <c r="BF239" s="121">
        <f t="shared" si="147"/>
        <v>1.7514263082706982E-2</v>
      </c>
      <c r="BG239" s="2"/>
      <c r="BH239" s="2"/>
    </row>
    <row r="240" spans="1:60" x14ac:dyDescent="0.3">
      <c r="AL240" s="2"/>
      <c r="AM240" s="2"/>
      <c r="BA240" s="120">
        <v>7</v>
      </c>
      <c r="BB240" s="2" t="s">
        <v>79</v>
      </c>
      <c r="BC240" s="2" t="s">
        <v>379</v>
      </c>
      <c r="BD240" s="2" t="s">
        <v>85</v>
      </c>
      <c r="BE240" s="121">
        <f t="shared" si="147"/>
        <v>0.15460075628870507</v>
      </c>
      <c r="BF240" s="121">
        <f t="shared" si="147"/>
        <v>3.1129470010790472E-2</v>
      </c>
      <c r="BG240" s="2"/>
      <c r="BH240" s="2"/>
    </row>
    <row r="241" spans="38:62" x14ac:dyDescent="0.3">
      <c r="AL241" s="2"/>
      <c r="AM241" s="2"/>
      <c r="BA241" s="120">
        <v>8</v>
      </c>
      <c r="BB241" s="2" t="s">
        <v>87</v>
      </c>
      <c r="BC241" s="2" t="s">
        <v>379</v>
      </c>
      <c r="BD241" s="2" t="s">
        <v>89</v>
      </c>
      <c r="BE241" s="121">
        <f t="shared" ref="BE241:BF243" si="148">BE37</f>
        <v>4.2993688831976684E-2</v>
      </c>
      <c r="BF241" s="121">
        <f t="shared" si="148"/>
        <v>1.5677006646583003E-2</v>
      </c>
      <c r="BG241" s="2"/>
      <c r="BH241" s="2"/>
    </row>
    <row r="242" spans="38:62" x14ac:dyDescent="0.3">
      <c r="AL242" s="2"/>
      <c r="AM242" s="2"/>
      <c r="BA242" s="120">
        <v>9</v>
      </c>
      <c r="BB242" s="2" t="s">
        <v>87</v>
      </c>
      <c r="BC242" s="2" t="s">
        <v>379</v>
      </c>
      <c r="BD242" s="2" t="s">
        <v>91</v>
      </c>
      <c r="BE242" s="121">
        <f t="shared" si="148"/>
        <v>5.2812384813859171E-2</v>
      </c>
      <c r="BF242" s="121">
        <f t="shared" si="148"/>
        <v>2.4766727078986417E-2</v>
      </c>
      <c r="BG242" s="2"/>
      <c r="BH242" s="2"/>
    </row>
    <row r="243" spans="38:62" x14ac:dyDescent="0.3">
      <c r="AL243" s="2"/>
      <c r="AM243" s="2"/>
      <c r="BA243" s="120">
        <v>10</v>
      </c>
      <c r="BB243" s="2" t="s">
        <v>87</v>
      </c>
      <c r="BC243" s="2" t="s">
        <v>379</v>
      </c>
      <c r="BD243" s="2" t="s">
        <v>93</v>
      </c>
      <c r="BE243" s="121">
        <f t="shared" si="148"/>
        <v>3.3809726962457265E-2</v>
      </c>
      <c r="BF243" s="121">
        <f t="shared" si="148"/>
        <v>1.8146130604321797E-2</v>
      </c>
      <c r="BG243" s="2"/>
      <c r="BH243" s="2"/>
    </row>
    <row r="244" spans="38:62" x14ac:dyDescent="0.3">
      <c r="AL244" s="2"/>
      <c r="AM244" s="2"/>
      <c r="BA244" s="120">
        <v>11</v>
      </c>
      <c r="BB244" s="2" t="s">
        <v>44</v>
      </c>
      <c r="BC244" s="2" t="s">
        <v>380</v>
      </c>
      <c r="BD244" s="2" t="s">
        <v>124</v>
      </c>
      <c r="BE244" s="121">
        <f>BE47</f>
        <v>3.7228501986806065E-2</v>
      </c>
      <c r="BF244" s="121">
        <f>BF47</f>
        <v>3.8973467989722455E-3</v>
      </c>
      <c r="BG244" s="2"/>
      <c r="BH244" s="2"/>
    </row>
    <row r="245" spans="38:62" x14ac:dyDescent="0.3">
      <c r="AL245" s="2"/>
      <c r="AM245" s="2"/>
      <c r="BA245" s="120">
        <v>12</v>
      </c>
      <c r="BB245" s="2" t="s">
        <v>69</v>
      </c>
      <c r="BC245" s="2" t="s">
        <v>380</v>
      </c>
      <c r="BD245" s="2" t="s">
        <v>129</v>
      </c>
      <c r="BE245" s="121">
        <f>BE66</f>
        <v>-9.4050296462891026E-3</v>
      </c>
      <c r="BF245" s="121">
        <f>BF66</f>
        <v>-9.1258941400198523E-3</v>
      </c>
      <c r="BG245" s="2"/>
      <c r="BH245" s="2"/>
    </row>
    <row r="246" spans="38:62" x14ac:dyDescent="0.3">
      <c r="AL246" s="2"/>
      <c r="AM246" s="2"/>
      <c r="BA246" s="120">
        <v>13</v>
      </c>
      <c r="BB246" s="2" t="s">
        <v>69</v>
      </c>
      <c r="BC246" s="2" t="s">
        <v>380</v>
      </c>
      <c r="BD246" s="2" t="s">
        <v>131</v>
      </c>
      <c r="BE246" s="121">
        <f>BE67</f>
        <v>5.304688693173143E-2</v>
      </c>
      <c r="BF246" s="121">
        <f>BF67</f>
        <v>1.0412633096245072E-2</v>
      </c>
      <c r="BG246" s="2"/>
      <c r="BH246" s="2"/>
    </row>
    <row r="247" spans="38:62" x14ac:dyDescent="0.3">
      <c r="AL247" s="2"/>
      <c r="AM247" s="2"/>
      <c r="BA247" s="120">
        <v>14</v>
      </c>
      <c r="BB247" s="2" t="s">
        <v>79</v>
      </c>
      <c r="BC247" s="2" t="s">
        <v>380</v>
      </c>
      <c r="BD247" s="2" t="s">
        <v>135</v>
      </c>
      <c r="BE247" s="121">
        <f t="shared" ref="BE247:BF249" si="149">BE73</f>
        <v>2.0813664185938243E-2</v>
      </c>
      <c r="BF247" s="121">
        <f t="shared" si="149"/>
        <v>-4.472833507324192E-3</v>
      </c>
      <c r="BG247" s="2"/>
      <c r="BH247" s="2"/>
    </row>
    <row r="248" spans="38:62" x14ac:dyDescent="0.3">
      <c r="AL248" s="2"/>
      <c r="AM248" s="2"/>
      <c r="BA248" s="120">
        <v>15</v>
      </c>
      <c r="BB248" s="2" t="s">
        <v>79</v>
      </c>
      <c r="BC248" s="2" t="s">
        <v>380</v>
      </c>
      <c r="BD248" s="2" t="s">
        <v>137</v>
      </c>
      <c r="BE248" s="121">
        <f t="shared" si="149"/>
        <v>9.994575595768046E-2</v>
      </c>
      <c r="BF248" s="121">
        <f t="shared" si="149"/>
        <v>1.7556261412216445E-2</v>
      </c>
      <c r="BG248" s="2"/>
      <c r="BH248" s="2"/>
    </row>
    <row r="249" spans="38:62" x14ac:dyDescent="0.3">
      <c r="AL249" s="2"/>
      <c r="AM249" s="2"/>
      <c r="BA249" s="120">
        <v>16</v>
      </c>
      <c r="BB249" s="2" t="s">
        <v>79</v>
      </c>
      <c r="BC249" s="2" t="s">
        <v>380</v>
      </c>
      <c r="BD249" s="2" t="s">
        <v>139</v>
      </c>
      <c r="BE249" s="121">
        <f t="shared" si="149"/>
        <v>-9.0170376675160438E-2</v>
      </c>
      <c r="BF249" s="121">
        <f t="shared" si="149"/>
        <v>-2.1362990053975572E-2</v>
      </c>
      <c r="BG249" s="2"/>
      <c r="BH249" s="2"/>
      <c r="BJ249" s="120"/>
    </row>
    <row r="250" spans="38:62" x14ac:dyDescent="0.3">
      <c r="AL250" s="2"/>
      <c r="AM250" s="2"/>
      <c r="BA250" s="120">
        <v>17</v>
      </c>
      <c r="BB250" s="2" t="s">
        <v>44</v>
      </c>
      <c r="BC250" s="2" t="s">
        <v>381</v>
      </c>
      <c r="BD250" s="2" t="s">
        <v>142</v>
      </c>
      <c r="BE250" s="121">
        <f>BE83</f>
        <v>0.12229359980965977</v>
      </c>
      <c r="BF250" s="121">
        <f>BF83</f>
        <v>1.4830699697888194E-2</v>
      </c>
      <c r="BG250" s="2"/>
      <c r="BH250" s="2"/>
    </row>
    <row r="251" spans="38:62" x14ac:dyDescent="0.3">
      <c r="AL251" s="2"/>
      <c r="AM251" s="2"/>
      <c r="BA251" s="120">
        <v>18</v>
      </c>
      <c r="BB251" s="2" t="s">
        <v>44</v>
      </c>
      <c r="BC251" s="2" t="s">
        <v>381</v>
      </c>
      <c r="BD251" s="2" t="s">
        <v>148</v>
      </c>
      <c r="BE251" s="121">
        <f t="shared" ref="BE251:BF254" si="150">BE101</f>
        <v>5.1237623762376235E-2</v>
      </c>
      <c r="BF251" s="121">
        <f t="shared" si="150"/>
        <v>1.7034221711763164E-2</v>
      </c>
      <c r="BG251" s="2"/>
      <c r="BH251" s="2"/>
    </row>
    <row r="252" spans="38:62" x14ac:dyDescent="0.3">
      <c r="AL252" s="2"/>
      <c r="AM252" s="2"/>
      <c r="BA252" s="120">
        <v>19</v>
      </c>
      <c r="BB252" s="2" t="s">
        <v>44</v>
      </c>
      <c r="BC252" s="2" t="s">
        <v>381</v>
      </c>
      <c r="BD252" s="2" t="s">
        <v>151</v>
      </c>
      <c r="BE252" s="121">
        <f t="shared" si="150"/>
        <v>4.3418332184700204E-2</v>
      </c>
      <c r="BF252" s="121">
        <f t="shared" si="150"/>
        <v>1.1341993632901781E-2</v>
      </c>
      <c r="BG252" s="2"/>
      <c r="BH252" s="2"/>
    </row>
    <row r="253" spans="38:62" x14ac:dyDescent="0.3">
      <c r="AL253" s="2"/>
      <c r="AM253" s="2"/>
      <c r="BA253" s="120">
        <v>20</v>
      </c>
      <c r="BB253" s="2" t="s">
        <v>44</v>
      </c>
      <c r="BC253" s="2" t="s">
        <v>381</v>
      </c>
      <c r="BD253" s="2" t="s">
        <v>154</v>
      </c>
      <c r="BE253" s="121">
        <f t="shared" si="150"/>
        <v>4.1666666666666664E-2</v>
      </c>
      <c r="BF253" s="121">
        <f t="shared" si="150"/>
        <v>0</v>
      </c>
      <c r="BG253" s="2"/>
      <c r="BH253" s="2"/>
    </row>
    <row r="254" spans="38:62" x14ac:dyDescent="0.3">
      <c r="AL254" s="2"/>
      <c r="AM254" s="2"/>
      <c r="BA254" s="120">
        <v>21</v>
      </c>
      <c r="BB254" s="2" t="s">
        <v>44</v>
      </c>
      <c r="BC254" s="2" t="s">
        <v>381</v>
      </c>
      <c r="BD254" s="2" t="s">
        <v>157</v>
      </c>
      <c r="BE254" s="121">
        <f t="shared" si="150"/>
        <v>8.4112149532710276E-2</v>
      </c>
      <c r="BF254" s="121">
        <f t="shared" si="150"/>
        <v>2.168079166422654E-2</v>
      </c>
      <c r="BG254" s="2"/>
      <c r="BH254" s="2"/>
    </row>
    <row r="255" spans="38:62" x14ac:dyDescent="0.3">
      <c r="AL255" s="2"/>
      <c r="AM255" s="2"/>
      <c r="BA255" s="120">
        <v>22</v>
      </c>
      <c r="BB255" s="2" t="s">
        <v>79</v>
      </c>
      <c r="BC255" s="2" t="s">
        <v>381</v>
      </c>
      <c r="BD255" s="2" t="s">
        <v>162</v>
      </c>
      <c r="BE255" s="121">
        <f t="shared" ref="BE255:BF257" si="151">BE110</f>
        <v>4.3973941368078175E-2</v>
      </c>
      <c r="BF255" s="121">
        <f t="shared" si="151"/>
        <v>-2.7199039030397776E-2</v>
      </c>
      <c r="BG255" s="2"/>
      <c r="BH255" s="2"/>
    </row>
    <row r="256" spans="38:62" x14ac:dyDescent="0.3">
      <c r="AL256" s="2"/>
      <c r="AM256" s="2"/>
      <c r="BA256" s="120">
        <v>23</v>
      </c>
      <c r="BB256" s="2" t="s">
        <v>79</v>
      </c>
      <c r="BC256" s="2" t="s">
        <v>381</v>
      </c>
      <c r="BD256" s="2" t="s">
        <v>163</v>
      </c>
      <c r="BE256" s="121">
        <f t="shared" si="151"/>
        <v>0.20459952418715305</v>
      </c>
      <c r="BF256" s="121">
        <f t="shared" si="151"/>
        <v>2.6901440385298736E-2</v>
      </c>
      <c r="BG256" s="2"/>
      <c r="BH256" s="2"/>
    </row>
    <row r="257" spans="38:60" x14ac:dyDescent="0.3">
      <c r="AL257" s="2"/>
      <c r="AM257" s="2"/>
      <c r="BA257" s="120">
        <v>24</v>
      </c>
      <c r="BB257" s="2" t="s">
        <v>79</v>
      </c>
      <c r="BC257" s="2" t="s">
        <v>381</v>
      </c>
      <c r="BD257" s="2" t="s">
        <v>164</v>
      </c>
      <c r="BE257" s="121">
        <f t="shared" si="151"/>
        <v>9.79765708200213E-2</v>
      </c>
      <c r="BF257" s="121">
        <f t="shared" si="151"/>
        <v>9.6640366105877895E-2</v>
      </c>
      <c r="BG257" s="2"/>
      <c r="BH257" s="2"/>
    </row>
    <row r="258" spans="38:60" x14ac:dyDescent="0.3">
      <c r="AL258" s="2"/>
      <c r="AM258" s="2"/>
      <c r="BA258" s="120">
        <v>25</v>
      </c>
      <c r="BB258" s="2" t="s">
        <v>87</v>
      </c>
      <c r="BC258" s="2" t="s">
        <v>381</v>
      </c>
      <c r="BD258" s="2" t="s">
        <v>168</v>
      </c>
      <c r="BE258" s="121">
        <f t="shared" ref="BE258:BF260" si="152">BE117</f>
        <v>0.22227388979307139</v>
      </c>
      <c r="BF258" s="121">
        <f t="shared" si="152"/>
        <v>2.0179991917072648E-2</v>
      </c>
      <c r="BG258" s="2"/>
      <c r="BH258" s="2"/>
    </row>
    <row r="259" spans="38:60" x14ac:dyDescent="0.3">
      <c r="AL259" s="2"/>
      <c r="AM259" s="2"/>
      <c r="BA259" s="120">
        <v>26</v>
      </c>
      <c r="BB259" s="2" t="s">
        <v>87</v>
      </c>
      <c r="BC259" s="2" t="s">
        <v>381</v>
      </c>
      <c r="BD259" s="2" t="s">
        <v>382</v>
      </c>
      <c r="BE259" s="121">
        <f t="shared" si="152"/>
        <v>-1.0033444816053512E-2</v>
      </c>
      <c r="BF259" s="121">
        <f t="shared" si="152"/>
        <v>6.4469483190536803E-3</v>
      </c>
      <c r="BG259" s="2"/>
      <c r="BH259" s="2"/>
    </row>
    <row r="260" spans="38:60" x14ac:dyDescent="0.3">
      <c r="AL260" s="2"/>
      <c r="AM260" s="2"/>
      <c r="BA260" s="120">
        <v>27</v>
      </c>
      <c r="BB260" s="2" t="s">
        <v>87</v>
      </c>
      <c r="BC260" s="2" t="s">
        <v>381</v>
      </c>
      <c r="BD260" s="2" t="s">
        <v>173</v>
      </c>
      <c r="BE260" s="121">
        <f t="shared" si="152"/>
        <v>9.1479820627802688E-2</v>
      </c>
      <c r="BF260" s="121">
        <f t="shared" si="152"/>
        <v>1.2116590262473359E-2</v>
      </c>
      <c r="BG260" s="2"/>
      <c r="BH260" s="2"/>
    </row>
    <row r="261" spans="38:60" x14ac:dyDescent="0.3">
      <c r="AL261" s="2"/>
      <c r="AM261" s="2"/>
      <c r="BA261" s="120">
        <v>28</v>
      </c>
      <c r="BB261" s="2" t="s">
        <v>44</v>
      </c>
      <c r="BC261" s="2" t="s">
        <v>383</v>
      </c>
      <c r="BD261" s="2" t="s">
        <v>384</v>
      </c>
      <c r="BE261" s="121">
        <f>BE126</f>
        <v>0.42968402962232088</v>
      </c>
      <c r="BF261" s="121">
        <f>BF126</f>
        <v>4.6474215807637442E-2</v>
      </c>
      <c r="BG261" s="2"/>
      <c r="BH261" s="2"/>
    </row>
    <row r="262" spans="38:60" x14ac:dyDescent="0.3">
      <c r="AL262" s="2"/>
      <c r="AM262" s="2"/>
      <c r="BA262" s="120">
        <v>29</v>
      </c>
      <c r="BB262" s="2" t="s">
        <v>87</v>
      </c>
      <c r="BC262" s="2" t="s">
        <v>383</v>
      </c>
      <c r="BD262" s="2" t="s">
        <v>181</v>
      </c>
      <c r="BE262" s="121">
        <f>BE141</f>
        <v>0.36696004638765911</v>
      </c>
      <c r="BF262" s="121">
        <f>BF141</f>
        <v>4.8415584135591994E-2</v>
      </c>
      <c r="BG262" s="2"/>
      <c r="BH262" s="2"/>
    </row>
    <row r="263" spans="38:60" x14ac:dyDescent="0.3">
      <c r="AL263" s="2"/>
      <c r="AM263" s="2"/>
      <c r="BA263" s="120">
        <v>30</v>
      </c>
      <c r="BB263" s="2" t="s">
        <v>87</v>
      </c>
      <c r="BC263" s="2" t="s">
        <v>383</v>
      </c>
      <c r="BD263" s="2" t="s">
        <v>385</v>
      </c>
      <c r="BE263" s="121">
        <f>BE142</f>
        <v>0.64614266913922291</v>
      </c>
      <c r="BF263" s="121">
        <f>BF142</f>
        <v>3.9866950936842338E-2</v>
      </c>
      <c r="BG263" s="2"/>
      <c r="BH263" s="2"/>
    </row>
    <row r="264" spans="38:60" x14ac:dyDescent="0.3">
      <c r="AL264" s="2"/>
      <c r="AM264" s="2"/>
      <c r="BA264" s="120">
        <v>31</v>
      </c>
      <c r="BB264" s="2" t="s">
        <v>44</v>
      </c>
      <c r="BC264" s="2" t="s">
        <v>386</v>
      </c>
      <c r="BD264" s="32" t="s">
        <v>185</v>
      </c>
      <c r="BE264" s="121">
        <f>BE147</f>
        <v>8.809113789905948E-2</v>
      </c>
      <c r="BF264" s="121">
        <f>BF147</f>
        <v>6.6123320447879719E-2</v>
      </c>
      <c r="BG264" s="2"/>
      <c r="BH264" s="2"/>
    </row>
    <row r="265" spans="38:60" x14ac:dyDescent="0.3">
      <c r="AL265" s="2"/>
      <c r="AM265" s="2"/>
      <c r="BA265" s="120">
        <v>32</v>
      </c>
      <c r="BB265" s="2" t="s">
        <v>87</v>
      </c>
      <c r="BC265" s="2" t="s">
        <v>386</v>
      </c>
      <c r="BD265" s="7" t="s">
        <v>187</v>
      </c>
      <c r="BE265" s="121">
        <f t="shared" ref="BE265:BF268" si="153">BE161</f>
        <v>0.14294933849628913</v>
      </c>
      <c r="BF265" s="121">
        <f t="shared" si="153"/>
        <v>5.8074418877927414E-2</v>
      </c>
      <c r="BG265" s="2"/>
      <c r="BH265" s="2"/>
    </row>
    <row r="266" spans="38:60" x14ac:dyDescent="0.3">
      <c r="AL266" s="2"/>
      <c r="AM266" s="2"/>
      <c r="BA266" s="120">
        <v>33</v>
      </c>
      <c r="BB266" s="2" t="s">
        <v>87</v>
      </c>
      <c r="BC266" s="2" t="s">
        <v>386</v>
      </c>
      <c r="BD266" s="7" t="s">
        <v>189</v>
      </c>
      <c r="BE266" s="121">
        <f t="shared" si="153"/>
        <v>8.2167832167832161E-2</v>
      </c>
      <c r="BF266" s="121">
        <f t="shared" si="153"/>
        <v>8.4037200121941602E-2</v>
      </c>
      <c r="BG266" s="2"/>
      <c r="BH266" s="2"/>
    </row>
    <row r="267" spans="38:60" x14ac:dyDescent="0.3">
      <c r="BA267" s="120">
        <v>34</v>
      </c>
      <c r="BB267" s="2" t="s">
        <v>87</v>
      </c>
      <c r="BC267" s="2" t="s">
        <v>386</v>
      </c>
      <c r="BD267" s="7" t="s">
        <v>191</v>
      </c>
      <c r="BE267" s="121">
        <f t="shared" si="153"/>
        <v>4.96031746031746E-3</v>
      </c>
      <c r="BF267" s="121">
        <f t="shared" si="153"/>
        <v>4.9477505351510187E-2</v>
      </c>
      <c r="BG267" s="2"/>
      <c r="BH267" s="2"/>
    </row>
    <row r="268" spans="38:60" x14ac:dyDescent="0.3">
      <c r="BA268" s="120">
        <v>35</v>
      </c>
      <c r="BB268" s="2" t="s">
        <v>87</v>
      </c>
      <c r="BC268" s="2" t="s">
        <v>386</v>
      </c>
      <c r="BD268" s="7" t="s">
        <v>193</v>
      </c>
      <c r="BE268" s="121">
        <f t="shared" si="153"/>
        <v>-3.0927835051546393E-2</v>
      </c>
      <c r="BF268" s="121">
        <f t="shared" si="153"/>
        <v>4.89764452454724E-2</v>
      </c>
      <c r="BG268" s="2"/>
      <c r="BH268" s="2"/>
    </row>
    <row r="269" spans="38:60" x14ac:dyDescent="0.3">
      <c r="BA269" s="120">
        <v>36</v>
      </c>
      <c r="BB269" s="2" t="s">
        <v>79</v>
      </c>
      <c r="BC269" s="2" t="s">
        <v>386</v>
      </c>
      <c r="BD269" s="7" t="s">
        <v>194</v>
      </c>
      <c r="BE269" s="121">
        <f t="shared" ref="BE269:BF271" si="154">BE168</f>
        <v>4.4311100853911836E-2</v>
      </c>
      <c r="BF269" s="121">
        <f t="shared" si="154"/>
        <v>7.6383281954417459E-2</v>
      </c>
      <c r="BG269" s="2"/>
      <c r="BH269" s="2"/>
    </row>
    <row r="270" spans="38:60" x14ac:dyDescent="0.3">
      <c r="BA270" s="120">
        <v>37</v>
      </c>
      <c r="BB270" s="2" t="s">
        <v>79</v>
      </c>
      <c r="BC270" s="2" t="s">
        <v>386</v>
      </c>
      <c r="BD270" s="7" t="s">
        <v>196</v>
      </c>
      <c r="BE270" s="121">
        <f t="shared" si="154"/>
        <v>4.8929663608562692E-2</v>
      </c>
      <c r="BF270" s="121">
        <f t="shared" si="154"/>
        <v>-1.1767983488791933E-2</v>
      </c>
      <c r="BG270" s="2"/>
      <c r="BH270" s="2"/>
    </row>
    <row r="271" spans="38:60" x14ac:dyDescent="0.3">
      <c r="BA271" s="120">
        <v>38</v>
      </c>
      <c r="BB271" s="2" t="s">
        <v>79</v>
      </c>
      <c r="BC271" s="2" t="s">
        <v>386</v>
      </c>
      <c r="BD271" s="7" t="s">
        <v>197</v>
      </c>
      <c r="BE271" s="121">
        <f t="shared" si="154"/>
        <v>0.15818622360678436</v>
      </c>
      <c r="BF271" s="121">
        <f t="shared" si="154"/>
        <v>5.9866314534577691E-2</v>
      </c>
      <c r="BG271" s="2"/>
      <c r="BH271" s="2"/>
    </row>
    <row r="272" spans="38:60" x14ac:dyDescent="0.3">
      <c r="BA272" s="120">
        <v>39</v>
      </c>
      <c r="BB272" s="2" t="s">
        <v>69</v>
      </c>
      <c r="BC272" s="2" t="s">
        <v>386</v>
      </c>
      <c r="BD272" s="7" t="s">
        <v>198</v>
      </c>
      <c r="BE272" s="121">
        <f t="shared" ref="BE272:BF274" si="155">BE174</f>
        <v>0.15399686520376177</v>
      </c>
      <c r="BF272" s="121">
        <f t="shared" si="155"/>
        <v>9.3742109514389105E-2</v>
      </c>
      <c r="BG272" s="2"/>
      <c r="BH272" s="2"/>
    </row>
    <row r="273" spans="53:60" x14ac:dyDescent="0.3">
      <c r="BA273" s="120">
        <v>40</v>
      </c>
      <c r="BB273" s="2" t="s">
        <v>69</v>
      </c>
      <c r="BC273" s="2" t="s">
        <v>386</v>
      </c>
      <c r="BD273" s="7" t="s">
        <v>199</v>
      </c>
      <c r="BE273" s="121">
        <f t="shared" si="155"/>
        <v>5.4021244309559936E-2</v>
      </c>
      <c r="BF273" s="121">
        <f t="shared" si="155"/>
        <v>4.3697135881497928E-2</v>
      </c>
      <c r="BG273" s="2"/>
      <c r="BH273" s="2"/>
    </row>
    <row r="274" spans="53:60" x14ac:dyDescent="0.3">
      <c r="BA274" s="120">
        <v>41</v>
      </c>
      <c r="BB274" s="2" t="s">
        <v>69</v>
      </c>
      <c r="BC274" s="2" t="s">
        <v>386</v>
      </c>
      <c r="BD274" s="7" t="s">
        <v>200</v>
      </c>
      <c r="BE274" s="121">
        <f t="shared" si="155"/>
        <v>5.5229142185663924E-2</v>
      </c>
      <c r="BF274" s="121">
        <f t="shared" si="155"/>
        <v>6.43382589006809E-2</v>
      </c>
      <c r="BG274" s="2"/>
      <c r="BH274" s="2"/>
    </row>
    <row r="275" spans="53:60" x14ac:dyDescent="0.3">
      <c r="BA275" s="120">
        <v>42</v>
      </c>
      <c r="BB275" s="2" t="s">
        <v>44</v>
      </c>
      <c r="BC275" s="2" t="s">
        <v>132</v>
      </c>
      <c r="BD275" s="2" t="s">
        <v>222</v>
      </c>
      <c r="BE275" s="121">
        <f>BE183</f>
        <v>4.7499045842287417E-2</v>
      </c>
      <c r="BF275" s="121">
        <f>BF183</f>
        <v>2.1280110498308247E-2</v>
      </c>
      <c r="BG275" s="2"/>
      <c r="BH275" s="2"/>
    </row>
    <row r="276" spans="53:60" x14ac:dyDescent="0.3">
      <c r="BA276" s="120">
        <v>43</v>
      </c>
      <c r="BB276" s="2" t="s">
        <v>44</v>
      </c>
      <c r="BC276" s="2" t="s">
        <v>132</v>
      </c>
      <c r="BD276" s="122" t="s">
        <v>256</v>
      </c>
      <c r="BE276" s="121">
        <f>BE186</f>
        <v>8.6137955454223522E-2</v>
      </c>
      <c r="BF276" s="121">
        <f>BF186</f>
        <v>2.3867612807679794E-2</v>
      </c>
      <c r="BG276" s="2"/>
      <c r="BH276" s="2"/>
    </row>
    <row r="277" spans="53:60" x14ac:dyDescent="0.3">
      <c r="BA277" s="120">
        <v>44</v>
      </c>
      <c r="BB277" s="2" t="s">
        <v>44</v>
      </c>
      <c r="BC277" s="2" t="s">
        <v>132</v>
      </c>
      <c r="BD277" s="2" t="s">
        <v>258</v>
      </c>
      <c r="BE277" s="121">
        <f>BE189</f>
        <v>3.5520149621791397E-2</v>
      </c>
      <c r="BF277" s="121">
        <f>BF189</f>
        <v>1.3242218207991874E-2</v>
      </c>
      <c r="BG277" s="2"/>
      <c r="BH277" s="2"/>
    </row>
    <row r="278" spans="53:60" x14ac:dyDescent="0.3">
      <c r="BA278" s="120">
        <v>45</v>
      </c>
      <c r="BB278" s="2" t="s">
        <v>44</v>
      </c>
      <c r="BC278" s="2" t="s">
        <v>132</v>
      </c>
      <c r="BD278" s="122" t="s">
        <v>283</v>
      </c>
      <c r="BE278" s="121">
        <f>BE192</f>
        <v>6.3382871776709218E-2</v>
      </c>
      <c r="BF278" s="121">
        <f>BF192</f>
        <v>8.4035953484242754E-3</v>
      </c>
      <c r="BG278" s="2"/>
      <c r="BH278" s="2"/>
    </row>
    <row r="279" spans="53:60" x14ac:dyDescent="0.3">
      <c r="BA279" s="120">
        <v>46</v>
      </c>
      <c r="BB279" s="2" t="s">
        <v>44</v>
      </c>
      <c r="BC279" s="2" t="s">
        <v>132</v>
      </c>
      <c r="BD279" s="2" t="s">
        <v>301</v>
      </c>
      <c r="BE279" s="121">
        <f>BE195</f>
        <v>1.8699135164998618E-2</v>
      </c>
      <c r="BF279" s="121">
        <f>BF195</f>
        <v>-5.4048607744261457E-4</v>
      </c>
      <c r="BG279" s="2"/>
      <c r="BH279" s="2"/>
    </row>
    <row r="280" spans="53:60" x14ac:dyDescent="0.3">
      <c r="BA280" s="120">
        <v>47</v>
      </c>
      <c r="BB280" s="2" t="s">
        <v>44</v>
      </c>
      <c r="BC280" s="2" t="s">
        <v>132</v>
      </c>
      <c r="BD280" s="2" t="s">
        <v>330</v>
      </c>
      <c r="BE280" s="121">
        <f>BE198</f>
        <v>2.2546650118666578E-2</v>
      </c>
      <c r="BF280" s="121">
        <f>BF198</f>
        <v>4.7029500398262147E-2</v>
      </c>
    </row>
    <row r="281" spans="53:60" x14ac:dyDescent="0.3">
      <c r="BA281" s="120">
        <v>48</v>
      </c>
      <c r="BB281" s="2" t="s">
        <v>44</v>
      </c>
      <c r="BC281" s="2" t="s">
        <v>132</v>
      </c>
      <c r="BD281" s="2" t="s">
        <v>332</v>
      </c>
      <c r="BE281" s="121">
        <f>BE201</f>
        <v>7.621019705636671E-2</v>
      </c>
      <c r="BF281" s="121">
        <f>BF201</f>
        <v>2.9421895087762939E-2</v>
      </c>
    </row>
    <row r="282" spans="53:60" x14ac:dyDescent="0.3">
      <c r="BA282" s="120">
        <v>49</v>
      </c>
      <c r="BB282" s="2" t="s">
        <v>44</v>
      </c>
      <c r="BC282" s="2" t="s">
        <v>132</v>
      </c>
      <c r="BD282" s="2" t="s">
        <v>334</v>
      </c>
      <c r="BE282" s="121">
        <f>BE204</f>
        <v>0.18704887396477882</v>
      </c>
      <c r="BF282" s="121">
        <f>BF204</f>
        <v>5.5754586095857261E-2</v>
      </c>
    </row>
    <row r="283" spans="53:60" x14ac:dyDescent="0.3">
      <c r="BA283" s="120">
        <v>50</v>
      </c>
      <c r="BB283" s="2" t="s">
        <v>44</v>
      </c>
      <c r="BC283" s="2" t="s">
        <v>132</v>
      </c>
      <c r="BD283" s="2" t="s">
        <v>338</v>
      </c>
      <c r="BE283" s="121">
        <f>BE207</f>
        <v>0.12266606314360078</v>
      </c>
      <c r="BF283" s="121">
        <f>BF207</f>
        <v>1.0538442654527636E-2</v>
      </c>
    </row>
    <row r="284" spans="53:60" x14ac:dyDescent="0.3">
      <c r="BA284" s="120"/>
      <c r="BE284" s="2"/>
      <c r="BF284" s="2"/>
    </row>
    <row r="285" spans="53:60" x14ac:dyDescent="0.3">
      <c r="BC285" s="7"/>
      <c r="BD285" s="7" t="s">
        <v>387</v>
      </c>
      <c r="BE285" s="123">
        <v>0.5</v>
      </c>
      <c r="BF285" s="123">
        <v>0.5</v>
      </c>
    </row>
    <row r="286" spans="53:60" x14ac:dyDescent="0.3">
      <c r="BC286" s="7"/>
      <c r="BD286" s="7" t="s">
        <v>388</v>
      </c>
      <c r="BE286" s="35">
        <f>_xlfn.PERCENTILE.INC(Table4[TTM CH],BE285)</f>
        <v>5.3534065620645679E-2</v>
      </c>
      <c r="BF286" s="35">
        <f>_xlfn.PERCENTILE.INC(Table4[CAGR 5Q],BF285)</f>
        <v>1.9734843618119613E-2</v>
      </c>
    </row>
    <row r="287" spans="53:60" x14ac:dyDescent="0.3">
      <c r="BC287" s="7"/>
      <c r="BD287" s="7"/>
      <c r="BE287" s="35"/>
      <c r="BF287" s="35"/>
    </row>
    <row r="288" spans="53:60" x14ac:dyDescent="0.3">
      <c r="BC288" s="7"/>
      <c r="BD288" s="7" t="s">
        <v>389</v>
      </c>
      <c r="BE288" s="35">
        <f>MIN(Table4[TTM CH])</f>
        <v>-9.0170376675160438E-2</v>
      </c>
      <c r="BF288" s="35">
        <f>MIN(Table4[CAGR 5Q])</f>
        <v>-2.7199039030397776E-2</v>
      </c>
    </row>
    <row r="289" spans="53:58" x14ac:dyDescent="0.3">
      <c r="BC289" s="7"/>
      <c r="BD289" s="7" t="s">
        <v>390</v>
      </c>
      <c r="BE289" s="35">
        <f>MAX(Table4[TTM CH])</f>
        <v>0.64614266913922291</v>
      </c>
      <c r="BF289" s="35">
        <f>MAX(Table4[CAGR 5Q])</f>
        <v>9.6640366105877895E-2</v>
      </c>
    </row>
    <row r="290" spans="53:58" x14ac:dyDescent="0.3">
      <c r="BC290" s="7"/>
      <c r="BD290" s="7"/>
      <c r="BE290" s="35"/>
      <c r="BF290" s="35"/>
    </row>
    <row r="291" spans="53:58" x14ac:dyDescent="0.3">
      <c r="BC291" s="7"/>
      <c r="BD291" s="7" t="s">
        <v>391</v>
      </c>
      <c r="BE291" s="124" t="s">
        <v>392</v>
      </c>
      <c r="BF291" s="124" t="s">
        <v>393</v>
      </c>
    </row>
    <row r="292" spans="53:58" x14ac:dyDescent="0.3">
      <c r="BC292" s="7" t="s">
        <v>394</v>
      </c>
      <c r="BD292" s="125">
        <f>BF285</f>
        <v>0.5</v>
      </c>
      <c r="BE292" s="35">
        <f>BE288</f>
        <v>-9.0170376675160438E-2</v>
      </c>
      <c r="BF292" s="35">
        <f>BF286</f>
        <v>1.9734843618119613E-2</v>
      </c>
    </row>
    <row r="293" spans="53:58" x14ac:dyDescent="0.3">
      <c r="BC293" s="7" t="s">
        <v>395</v>
      </c>
      <c r="BD293" s="125">
        <f>BF285</f>
        <v>0.5</v>
      </c>
      <c r="BE293" s="35">
        <f>BE289</f>
        <v>0.64614266913922291</v>
      </c>
      <c r="BF293" s="35">
        <f>BF286</f>
        <v>1.9734843618119613E-2</v>
      </c>
    </row>
    <row r="294" spans="53:58" x14ac:dyDescent="0.3">
      <c r="BC294" s="7"/>
      <c r="BD294" s="7"/>
      <c r="BE294" s="35"/>
      <c r="BF294" s="35"/>
    </row>
    <row r="295" spans="53:58" x14ac:dyDescent="0.3">
      <c r="BC295" s="7" t="s">
        <v>396</v>
      </c>
      <c r="BD295" s="125">
        <f>BE285</f>
        <v>0.5</v>
      </c>
      <c r="BE295" s="35">
        <f>BE286</f>
        <v>5.3534065620645679E-2</v>
      </c>
      <c r="BF295" s="35">
        <f>BF288</f>
        <v>-2.7199039030397776E-2</v>
      </c>
    </row>
    <row r="296" spans="53:58" x14ac:dyDescent="0.3">
      <c r="BC296" s="7" t="s">
        <v>397</v>
      </c>
      <c r="BD296" s="125">
        <f>BE285</f>
        <v>0.5</v>
      </c>
      <c r="BE296" s="35">
        <f>BE286</f>
        <v>5.3534065620645679E-2</v>
      </c>
      <c r="BF296" s="35">
        <f>BF289</f>
        <v>9.6640366105877895E-2</v>
      </c>
    </row>
    <row r="297" spans="53:58" x14ac:dyDescent="0.3">
      <c r="BE297" s="2"/>
      <c r="BF297" s="2"/>
    </row>
    <row r="298" spans="53:58" x14ac:dyDescent="0.3">
      <c r="BE298" s="2"/>
      <c r="BF298" s="2"/>
    </row>
    <row r="299" spans="53:58" x14ac:dyDescent="0.3">
      <c r="BA299" s="120">
        <v>1</v>
      </c>
      <c r="BE299" s="2"/>
      <c r="BF299" s="2"/>
    </row>
    <row r="300" spans="53:58" x14ac:dyDescent="0.3">
      <c r="BA300" s="120">
        <v>2</v>
      </c>
      <c r="BC300" s="121"/>
      <c r="BD300" s="121"/>
    </row>
    <row r="301" spans="53:58" x14ac:dyDescent="0.3">
      <c r="BA301" s="120">
        <v>3</v>
      </c>
      <c r="BB301" s="126" t="s">
        <v>376</v>
      </c>
      <c r="BC301" s="126" t="s">
        <v>377</v>
      </c>
      <c r="BD301" s="126" t="s">
        <v>378</v>
      </c>
      <c r="BE301" s="126" t="s">
        <v>41</v>
      </c>
      <c r="BF301" s="127" t="s">
        <v>42</v>
      </c>
    </row>
    <row r="302" spans="53:58" x14ac:dyDescent="0.3">
      <c r="BA302" s="120">
        <v>4</v>
      </c>
      <c r="BB302" s="128" t="s">
        <v>44</v>
      </c>
      <c r="BC302" s="128" t="s">
        <v>379</v>
      </c>
      <c r="BD302" s="128" t="s">
        <v>45</v>
      </c>
      <c r="BE302" s="129">
        <f>BE234</f>
        <v>4.2961434297775582E-2</v>
      </c>
      <c r="BF302" s="129">
        <f>BF234</f>
        <v>1.7887227272861184E-2</v>
      </c>
    </row>
    <row r="303" spans="53:58" x14ac:dyDescent="0.3">
      <c r="BA303" s="120">
        <v>5</v>
      </c>
      <c r="BB303" s="130" t="s">
        <v>69</v>
      </c>
      <c r="BC303" s="130" t="s">
        <v>379</v>
      </c>
      <c r="BD303" s="130" t="s">
        <v>72</v>
      </c>
      <c r="BE303" s="131">
        <f>BE235</f>
        <v>4.5361945771062541E-2</v>
      </c>
      <c r="BF303" s="131">
        <f>BF235</f>
        <v>1.9289695319166578E-2</v>
      </c>
    </row>
    <row r="304" spans="53:58" x14ac:dyDescent="0.3">
      <c r="BA304" s="120">
        <v>6</v>
      </c>
      <c r="BB304" s="128" t="s">
        <v>69</v>
      </c>
      <c r="BC304" s="128" t="s">
        <v>379</v>
      </c>
      <c r="BD304" s="128" t="s">
        <v>74</v>
      </c>
      <c r="BE304" s="129">
        <f t="shared" ref="BE304:BF311" si="156">BE236</f>
        <v>-2.3310180502169132E-2</v>
      </c>
      <c r="BF304" s="129">
        <f t="shared" si="156"/>
        <v>1.5931178122619016E-4</v>
      </c>
    </row>
    <row r="305" spans="53:58" x14ac:dyDescent="0.3">
      <c r="BA305" s="120">
        <v>7</v>
      </c>
      <c r="BB305" s="130" t="s">
        <v>69</v>
      </c>
      <c r="BC305" s="130" t="s">
        <v>379</v>
      </c>
      <c r="BD305" s="130" t="s">
        <v>76</v>
      </c>
      <c r="BE305" s="131">
        <f t="shared" si="156"/>
        <v>0.16029411764705886</v>
      </c>
      <c r="BF305" s="131">
        <f t="shared" si="156"/>
        <v>3.5002220240370141E-2</v>
      </c>
    </row>
    <row r="306" spans="53:58" x14ac:dyDescent="0.3">
      <c r="BA306" s="120">
        <v>8</v>
      </c>
      <c r="BB306" s="128" t="s">
        <v>79</v>
      </c>
      <c r="BC306" s="128" t="s">
        <v>379</v>
      </c>
      <c r="BD306" s="128" t="s">
        <v>81</v>
      </c>
      <c r="BE306" s="129">
        <f t="shared" si="156"/>
        <v>2.3041115706311111E-2</v>
      </c>
      <c r="BF306" s="129">
        <f t="shared" si="156"/>
        <v>1.7003278007729605E-2</v>
      </c>
    </row>
    <row r="307" spans="53:58" x14ac:dyDescent="0.3">
      <c r="BA307" s="120">
        <v>9</v>
      </c>
      <c r="BB307" s="130" t="s">
        <v>79</v>
      </c>
      <c r="BC307" s="130" t="s">
        <v>379</v>
      </c>
      <c r="BD307" s="130" t="s">
        <v>83</v>
      </c>
      <c r="BE307" s="131">
        <f t="shared" si="156"/>
        <v>8.8227705427830469E-2</v>
      </c>
      <c r="BF307" s="131">
        <f t="shared" si="156"/>
        <v>1.7514263082706982E-2</v>
      </c>
    </row>
    <row r="308" spans="53:58" x14ac:dyDescent="0.3">
      <c r="BA308" s="120">
        <v>10</v>
      </c>
      <c r="BB308" s="128" t="s">
        <v>79</v>
      </c>
      <c r="BC308" s="128" t="s">
        <v>379</v>
      </c>
      <c r="BD308" s="128" t="s">
        <v>85</v>
      </c>
      <c r="BE308" s="129">
        <f t="shared" si="156"/>
        <v>0.15460075628870507</v>
      </c>
      <c r="BF308" s="129">
        <f t="shared" si="156"/>
        <v>3.1129470010790472E-2</v>
      </c>
    </row>
    <row r="309" spans="53:58" x14ac:dyDescent="0.3">
      <c r="BB309" s="130" t="s">
        <v>87</v>
      </c>
      <c r="BC309" s="130" t="s">
        <v>379</v>
      </c>
      <c r="BD309" s="130" t="s">
        <v>89</v>
      </c>
      <c r="BE309" s="131">
        <f t="shared" si="156"/>
        <v>4.2993688831976684E-2</v>
      </c>
      <c r="BF309" s="131">
        <f t="shared" si="156"/>
        <v>1.5677006646583003E-2</v>
      </c>
    </row>
    <row r="310" spans="53:58" x14ac:dyDescent="0.3">
      <c r="BB310" s="128" t="s">
        <v>87</v>
      </c>
      <c r="BC310" s="128" t="s">
        <v>379</v>
      </c>
      <c r="BD310" s="128" t="s">
        <v>91</v>
      </c>
      <c r="BE310" s="129">
        <f t="shared" si="156"/>
        <v>5.2812384813859171E-2</v>
      </c>
      <c r="BF310" s="129">
        <f t="shared" si="156"/>
        <v>2.4766727078986417E-2</v>
      </c>
    </row>
    <row r="311" spans="53:58" x14ac:dyDescent="0.3">
      <c r="BB311" s="132" t="s">
        <v>87</v>
      </c>
      <c r="BC311" s="132" t="s">
        <v>379</v>
      </c>
      <c r="BD311" s="132" t="s">
        <v>93</v>
      </c>
      <c r="BE311" s="133">
        <f t="shared" si="156"/>
        <v>3.3809726962457265E-2</v>
      </c>
      <c r="BF311" s="133">
        <f t="shared" si="156"/>
        <v>1.8146130604321797E-2</v>
      </c>
    </row>
    <row r="313" spans="53:58" x14ac:dyDescent="0.3">
      <c r="BC313" s="7"/>
      <c r="BD313" s="7" t="s">
        <v>387</v>
      </c>
      <c r="BE313" s="123">
        <v>0.5</v>
      </c>
      <c r="BF313" s="123">
        <v>0.5</v>
      </c>
    </row>
    <row r="314" spans="53:58" x14ac:dyDescent="0.3">
      <c r="BC314" s="7"/>
      <c r="BD314" s="7" t="s">
        <v>388</v>
      </c>
      <c r="BE314" s="35">
        <f>_xlfn.PERCENTILE.INC(Table7[TTM CH],BE313)</f>
        <v>4.4177817301519609E-2</v>
      </c>
      <c r="BF314" s="35">
        <f>_xlfn.PERCENTILE.INC(Table7[CAGR 5Q],BF313)</f>
        <v>1.801667893859149E-2</v>
      </c>
    </row>
    <row r="315" spans="53:58" x14ac:dyDescent="0.3">
      <c r="BC315" s="7"/>
      <c r="BD315" s="7"/>
      <c r="BE315" s="35"/>
      <c r="BF315" s="35"/>
    </row>
    <row r="316" spans="53:58" x14ac:dyDescent="0.3">
      <c r="BC316" s="7"/>
      <c r="BD316" s="7" t="s">
        <v>389</v>
      </c>
      <c r="BE316" s="35">
        <f>MIN(Table7[TTM CH])</f>
        <v>-2.3310180502169132E-2</v>
      </c>
      <c r="BF316" s="35">
        <f>MIN(Table7[CAGR 5Q])</f>
        <v>1.5931178122619016E-4</v>
      </c>
    </row>
    <row r="317" spans="53:58" x14ac:dyDescent="0.3">
      <c r="BC317" s="7"/>
      <c r="BD317" s="7" t="s">
        <v>390</v>
      </c>
      <c r="BE317" s="35">
        <f>MAX(Table7[TTM CH])</f>
        <v>0.16029411764705886</v>
      </c>
      <c r="BF317" s="35">
        <f>MAX(Table7[CAGR 5Q])</f>
        <v>3.5002220240370141E-2</v>
      </c>
    </row>
    <row r="318" spans="53:58" x14ac:dyDescent="0.3">
      <c r="BC318" s="7"/>
      <c r="BD318" s="7"/>
      <c r="BE318" s="35"/>
      <c r="BF318" s="35"/>
    </row>
    <row r="319" spans="53:58" x14ac:dyDescent="0.3">
      <c r="BC319" s="7"/>
      <c r="BD319" s="7" t="s">
        <v>391</v>
      </c>
      <c r="BE319" s="124" t="s">
        <v>392</v>
      </c>
      <c r="BF319" s="124" t="s">
        <v>393</v>
      </c>
    </row>
    <row r="320" spans="53:58" x14ac:dyDescent="0.3">
      <c r="BC320" s="7" t="s">
        <v>394</v>
      </c>
      <c r="BD320" s="125">
        <f>BF313</f>
        <v>0.5</v>
      </c>
      <c r="BE320" s="35">
        <f>BE316</f>
        <v>-2.3310180502169132E-2</v>
      </c>
      <c r="BF320" s="35">
        <f>BF314</f>
        <v>1.801667893859149E-2</v>
      </c>
    </row>
    <row r="321" spans="55:58" x14ac:dyDescent="0.3">
      <c r="BC321" s="7" t="s">
        <v>395</v>
      </c>
      <c r="BD321" s="125">
        <f>BF313</f>
        <v>0.5</v>
      </c>
      <c r="BE321" s="35">
        <f>BE317</f>
        <v>0.16029411764705886</v>
      </c>
      <c r="BF321" s="35">
        <f>BF314</f>
        <v>1.801667893859149E-2</v>
      </c>
    </row>
    <row r="322" spans="55:58" x14ac:dyDescent="0.3">
      <c r="BC322" s="7"/>
      <c r="BD322" s="7"/>
      <c r="BE322" s="35"/>
      <c r="BF322" s="35"/>
    </row>
    <row r="323" spans="55:58" x14ac:dyDescent="0.3">
      <c r="BC323" s="7" t="s">
        <v>396</v>
      </c>
      <c r="BD323" s="125">
        <f>BE313</f>
        <v>0.5</v>
      </c>
      <c r="BE323" s="35">
        <f>BE314</f>
        <v>4.4177817301519609E-2</v>
      </c>
      <c r="BF323" s="35">
        <f>BF316</f>
        <v>1.5931178122619016E-4</v>
      </c>
    </row>
    <row r="324" spans="55:58" x14ac:dyDescent="0.3">
      <c r="BC324" s="7" t="s">
        <v>397</v>
      </c>
      <c r="BD324" s="125">
        <f>BE313</f>
        <v>0.5</v>
      </c>
      <c r="BE324" s="35">
        <f>BE314</f>
        <v>4.4177817301519609E-2</v>
      </c>
      <c r="BF324" s="35">
        <f>BF317</f>
        <v>3.5002220240370141E-2</v>
      </c>
    </row>
    <row r="325" spans="55:58" x14ac:dyDescent="0.3">
      <c r="BE325" s="2"/>
      <c r="BF325" s="2"/>
    </row>
    <row r="326" spans="55:58" x14ac:dyDescent="0.3">
      <c r="BE326" s="2"/>
      <c r="BF326" s="2"/>
    </row>
    <row r="327" spans="55:58" x14ac:dyDescent="0.3">
      <c r="BE327" s="2"/>
      <c r="BF327" s="2"/>
    </row>
    <row r="328" spans="55:58" x14ac:dyDescent="0.3">
      <c r="BE328" s="2"/>
      <c r="BF328" s="2"/>
    </row>
    <row r="329" spans="55:58" x14ac:dyDescent="0.3">
      <c r="BE329" s="2"/>
      <c r="BF329" s="2"/>
    </row>
    <row r="330" spans="55:58" x14ac:dyDescent="0.3">
      <c r="BE330" s="2"/>
      <c r="BF330" s="2"/>
    </row>
    <row r="331" spans="55:58" x14ac:dyDescent="0.3">
      <c r="BE331" s="2"/>
      <c r="BF331" s="2"/>
    </row>
    <row r="332" spans="55:58" x14ac:dyDescent="0.3">
      <c r="BE332" s="2"/>
      <c r="BF332" s="2"/>
    </row>
    <row r="333" spans="55:58" x14ac:dyDescent="0.3">
      <c r="BE333" s="2"/>
      <c r="BF333" s="2"/>
    </row>
    <row r="334" spans="55:58" x14ac:dyDescent="0.3">
      <c r="BE334" s="2"/>
      <c r="BF334" s="2"/>
    </row>
    <row r="335" spans="55:58" x14ac:dyDescent="0.3">
      <c r="BE335" s="2"/>
      <c r="BF335" s="2"/>
    </row>
    <row r="336" spans="55:58" x14ac:dyDescent="0.3">
      <c r="BE336" s="2"/>
      <c r="BF336" s="2"/>
    </row>
    <row r="337" spans="57:58" x14ac:dyDescent="0.3">
      <c r="BE337" s="2"/>
      <c r="BF337" s="2"/>
    </row>
    <row r="338" spans="57:58" x14ac:dyDescent="0.3">
      <c r="BE338" s="2"/>
      <c r="BF338" s="2"/>
    </row>
    <row r="339" spans="57:58" x14ac:dyDescent="0.3">
      <c r="BE339" s="2"/>
      <c r="BF339" s="2"/>
    </row>
    <row r="340" spans="57:58" x14ac:dyDescent="0.3">
      <c r="BE340" s="2"/>
      <c r="BF340" s="2"/>
    </row>
    <row r="341" spans="57:58" x14ac:dyDescent="0.3">
      <c r="BE341" s="2"/>
      <c r="BF341" s="2"/>
    </row>
    <row r="342" spans="57:58" x14ac:dyDescent="0.3">
      <c r="BE342" s="2"/>
      <c r="BF342" s="2"/>
    </row>
    <row r="343" spans="57:58" x14ac:dyDescent="0.3">
      <c r="BE343" s="2"/>
      <c r="BF343" s="2"/>
    </row>
    <row r="344" spans="57:58" x14ac:dyDescent="0.3">
      <c r="BE344" s="2"/>
      <c r="BF344" s="2"/>
    </row>
    <row r="345" spans="57:58" x14ac:dyDescent="0.3">
      <c r="BE345" s="2"/>
      <c r="BF345" s="2"/>
    </row>
    <row r="346" spans="57:58" x14ac:dyDescent="0.3">
      <c r="BE346" s="2"/>
      <c r="BF346" s="2"/>
    </row>
    <row r="347" spans="57:58" x14ac:dyDescent="0.3">
      <c r="BE347" s="2"/>
      <c r="BF347" s="2"/>
    </row>
    <row r="348" spans="57:58" x14ac:dyDescent="0.3">
      <c r="BE348" s="2"/>
      <c r="BF348" s="2"/>
    </row>
    <row r="349" spans="57:58" x14ac:dyDescent="0.3">
      <c r="BE349" s="2"/>
      <c r="BF349" s="2"/>
    </row>
    <row r="350" spans="57:58" x14ac:dyDescent="0.3">
      <c r="BE350" s="2"/>
      <c r="BF350" s="2"/>
    </row>
    <row r="351" spans="57:58" x14ac:dyDescent="0.3">
      <c r="BE351" s="2"/>
      <c r="BF351" s="2"/>
    </row>
    <row r="352" spans="57:58" x14ac:dyDescent="0.3">
      <c r="BE352" s="2"/>
      <c r="BF352" s="2"/>
    </row>
    <row r="353" spans="57:58" x14ac:dyDescent="0.3">
      <c r="BE353" s="2"/>
      <c r="BF353" s="2"/>
    </row>
    <row r="354" spans="57:58" x14ac:dyDescent="0.3">
      <c r="BE354" s="2"/>
      <c r="BF354" s="2"/>
    </row>
    <row r="355" spans="57:58" x14ac:dyDescent="0.3">
      <c r="BE355" s="2"/>
      <c r="BF355" s="2"/>
    </row>
    <row r="356" spans="57:58" x14ac:dyDescent="0.3">
      <c r="BE356" s="2"/>
      <c r="BF356" s="2"/>
    </row>
    <row r="357" spans="57:58" x14ac:dyDescent="0.3">
      <c r="BE357" s="2"/>
      <c r="BF357" s="2"/>
    </row>
    <row r="358" spans="57:58" x14ac:dyDescent="0.3">
      <c r="BE358" s="2"/>
      <c r="BF358" s="2"/>
    </row>
    <row r="359" spans="57:58" x14ac:dyDescent="0.3">
      <c r="BE359" s="2"/>
      <c r="BF359" s="2"/>
    </row>
    <row r="360" spans="57:58" x14ac:dyDescent="0.3">
      <c r="BE360" s="2"/>
      <c r="BF360" s="2"/>
    </row>
    <row r="361" spans="57:58" x14ac:dyDescent="0.3">
      <c r="BE361" s="2"/>
    </row>
    <row r="362" spans="57:58" x14ac:dyDescent="0.3">
      <c r="BE362" s="2"/>
    </row>
    <row r="363" spans="57:58" x14ac:dyDescent="0.3">
      <c r="BE363" s="2"/>
    </row>
  </sheetData>
  <mergeCells count="1">
    <mergeCell ref="Y45:AE45"/>
  </mergeCells>
  <pageMargins left="0.7" right="0.7" top="0.75" bottom="0.75" header="0.3" footer="0.3"/>
  <drawing r:id="rId1"/>
  <tableParts count="2">
    <tablePart r:id="rId2"/>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Benchmarking (STARBUCKS)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Hilmi</dc:creator>
  <cp:lastModifiedBy>Muhammad Hilmi</cp:lastModifiedBy>
  <dcterms:created xsi:type="dcterms:W3CDTF">2026-05-06T04:06:40Z</dcterms:created>
  <dcterms:modified xsi:type="dcterms:W3CDTF">2026-05-06T04:07:30Z</dcterms:modified>
</cp:coreProperties>
</file>