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7dc49250f45e7e/Desktop/SCTP -APC Data Analytics/PACE-SCTP-DA-02-Analysing and Interpreting Data (M3)/Capstone Project/"/>
    </mc:Choice>
  </mc:AlternateContent>
  <xr:revisionPtr revIDLastSave="0" documentId="8_{5C490ED2-8D43-4013-A414-9EA19D5EEAA2}" xr6:coauthVersionLast="47" xr6:coauthVersionMax="47" xr10:uidLastSave="{00000000-0000-0000-0000-000000000000}"/>
  <bookViews>
    <workbookView xWindow="-108" yWindow="-108" windowWidth="23256" windowHeight="12456" xr2:uid="{4C2C7057-ED94-47A5-9AF4-56FA297DF039}"/>
  </bookViews>
  <sheets>
    <sheet name="Forecasting (STARBUCKS) 2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207" i="1" l="1"/>
  <c r="AR207" i="1" s="1"/>
  <c r="AO207" i="1"/>
  <c r="AN207" i="1"/>
  <c r="AI207" i="1"/>
  <c r="AJ207" i="1" s="1"/>
  <c r="AG207" i="1"/>
  <c r="AF207" i="1"/>
  <c r="AA207" i="1"/>
  <c r="AB207" i="1" s="1"/>
  <c r="Y207" i="1"/>
  <c r="X207" i="1"/>
  <c r="AQ206" i="1"/>
  <c r="AR206" i="1" s="1"/>
  <c r="AO206" i="1"/>
  <c r="AN206" i="1"/>
  <c r="AI206" i="1"/>
  <c r="AJ206" i="1" s="1"/>
  <c r="AG206" i="1"/>
  <c r="AF206" i="1"/>
  <c r="AC206" i="1"/>
  <c r="AA206" i="1"/>
  <c r="AB206" i="1" s="1"/>
  <c r="AD206" i="1" s="1"/>
  <c r="Y175" i="1" s="1"/>
  <c r="Y206" i="1"/>
  <c r="X206" i="1"/>
  <c r="AQ205" i="1"/>
  <c r="AQ208" i="1" s="1"/>
  <c r="AO205" i="1"/>
  <c r="AO208" i="1" s="1"/>
  <c r="AN205" i="1"/>
  <c r="AN208" i="1" s="1"/>
  <c r="AI205" i="1"/>
  <c r="AJ205" i="1" s="1"/>
  <c r="AG205" i="1"/>
  <c r="AG208" i="1" s="1"/>
  <c r="AF205" i="1"/>
  <c r="AF208" i="1" s="1"/>
  <c r="AA205" i="1"/>
  <c r="AA208" i="1" s="1"/>
  <c r="Y205" i="1"/>
  <c r="Y208" i="1" s="1"/>
  <c r="X205" i="1"/>
  <c r="X208" i="1" s="1"/>
  <c r="AI203" i="1"/>
  <c r="AG203" i="1"/>
  <c r="AF203" i="1"/>
  <c r="AQ202" i="1"/>
  <c r="AR202" i="1" s="1"/>
  <c r="AO202" i="1"/>
  <c r="AN202" i="1"/>
  <c r="AI202" i="1"/>
  <c r="AJ202" i="1" s="1"/>
  <c r="AL202" i="1" s="1"/>
  <c r="AB171" i="1" s="1"/>
  <c r="AG202" i="1"/>
  <c r="AF202" i="1"/>
  <c r="AA202" i="1"/>
  <c r="AB202" i="1" s="1"/>
  <c r="Y202" i="1"/>
  <c r="Y203" i="1" s="1"/>
  <c r="X202" i="1"/>
  <c r="AQ201" i="1"/>
  <c r="AR201" i="1" s="1"/>
  <c r="AO201" i="1"/>
  <c r="AN201" i="1"/>
  <c r="AI201" i="1"/>
  <c r="AJ201" i="1" s="1"/>
  <c r="AG201" i="1"/>
  <c r="AF201" i="1"/>
  <c r="AA201" i="1"/>
  <c r="AB201" i="1" s="1"/>
  <c r="Y201" i="1"/>
  <c r="X201" i="1"/>
  <c r="AQ200" i="1"/>
  <c r="AO200" i="1"/>
  <c r="AO203" i="1" s="1"/>
  <c r="AN200" i="1"/>
  <c r="AI200" i="1"/>
  <c r="AJ200" i="1" s="1"/>
  <c r="AG200" i="1"/>
  <c r="AF200" i="1"/>
  <c r="AA200" i="1"/>
  <c r="AA203" i="1" s="1"/>
  <c r="Y200" i="1"/>
  <c r="X200" i="1"/>
  <c r="X203" i="1" s="1"/>
  <c r="AQ198" i="1"/>
  <c r="AG198" i="1"/>
  <c r="X198" i="1"/>
  <c r="AQ197" i="1"/>
  <c r="AR197" i="1" s="1"/>
  <c r="AO197" i="1"/>
  <c r="AN197" i="1"/>
  <c r="AI197" i="1"/>
  <c r="AJ197" i="1" s="1"/>
  <c r="AG197" i="1"/>
  <c r="AF197" i="1"/>
  <c r="AA197" i="1"/>
  <c r="AB197" i="1" s="1"/>
  <c r="Y197" i="1"/>
  <c r="X197" i="1"/>
  <c r="AQ196" i="1"/>
  <c r="AR196" i="1" s="1"/>
  <c r="AO196" i="1"/>
  <c r="AN196" i="1"/>
  <c r="AI196" i="1"/>
  <c r="AJ196" i="1" s="1"/>
  <c r="AG196" i="1"/>
  <c r="AF196" i="1"/>
  <c r="AA196" i="1"/>
  <c r="AA198" i="1" s="1"/>
  <c r="Y196" i="1"/>
  <c r="X196" i="1"/>
  <c r="AQ195" i="1"/>
  <c r="AR195" i="1" s="1"/>
  <c r="AO195" i="1"/>
  <c r="AO198" i="1" s="1"/>
  <c r="AN195" i="1"/>
  <c r="AN198" i="1" s="1"/>
  <c r="AI195" i="1"/>
  <c r="AJ195" i="1" s="1"/>
  <c r="AG195" i="1"/>
  <c r="AF195" i="1"/>
  <c r="AF198" i="1" s="1"/>
  <c r="AA195" i="1"/>
  <c r="AB195" i="1" s="1"/>
  <c r="Y195" i="1"/>
  <c r="Y198" i="1" s="1"/>
  <c r="X195" i="1"/>
  <c r="W180" i="1"/>
  <c r="AD176" i="1"/>
  <c r="AC176" i="1"/>
  <c r="Z176" i="1"/>
  <c r="AA176" i="1" s="1"/>
  <c r="X176" i="1"/>
  <c r="W176" i="1"/>
  <c r="AC175" i="1"/>
  <c r="AD175" i="1" s="1"/>
  <c r="AD177" i="1" s="1"/>
  <c r="AA175" i="1"/>
  <c r="Z175" i="1"/>
  <c r="W175" i="1"/>
  <c r="X175" i="1" s="1"/>
  <c r="AD174" i="1"/>
  <c r="AC174" i="1"/>
  <c r="Z174" i="1"/>
  <c r="AA174" i="1" s="1"/>
  <c r="X174" i="1"/>
  <c r="X177" i="1" s="1"/>
  <c r="W174" i="1"/>
  <c r="AC171" i="1"/>
  <c r="AA171" i="1"/>
  <c r="Z171" i="1"/>
  <c r="W171" i="1"/>
  <c r="AD170" i="1"/>
  <c r="AC170" i="1"/>
  <c r="Z170" i="1"/>
  <c r="X170" i="1"/>
  <c r="W170" i="1"/>
  <c r="AC169" i="1"/>
  <c r="AA169" i="1"/>
  <c r="Z169" i="1"/>
  <c r="W169" i="1"/>
  <c r="AC166" i="1"/>
  <c r="Z166" i="1"/>
  <c r="X166" i="1"/>
  <c r="W166" i="1"/>
  <c r="AC165" i="1"/>
  <c r="Z165" i="1"/>
  <c r="W165" i="1"/>
  <c r="AD164" i="1"/>
  <c r="AC164" i="1"/>
  <c r="Z164" i="1"/>
  <c r="W164" i="1"/>
  <c r="X159" i="1"/>
  <c r="AG110" i="1"/>
  <c r="AT109" i="1"/>
  <c r="AE78" i="1" s="1"/>
  <c r="AR109" i="1"/>
  <c r="AS109" i="1" s="1"/>
  <c r="AQ109" i="1"/>
  <c r="AO109" i="1"/>
  <c r="AN109" i="1"/>
  <c r="AL109" i="1"/>
  <c r="AB78" i="1" s="1"/>
  <c r="AJ109" i="1"/>
  <c r="AK109" i="1" s="1"/>
  <c r="AI109" i="1"/>
  <c r="AG109" i="1"/>
  <c r="AF109" i="1"/>
  <c r="AB109" i="1"/>
  <c r="AD109" i="1" s="1"/>
  <c r="Y78" i="1" s="1"/>
  <c r="AA109" i="1"/>
  <c r="Y109" i="1"/>
  <c r="X109" i="1"/>
  <c r="AQ108" i="1"/>
  <c r="AR108" i="1" s="1"/>
  <c r="AO108" i="1"/>
  <c r="AN108" i="1"/>
  <c r="AL108" i="1"/>
  <c r="AB77" i="1" s="1"/>
  <c r="AJ108" i="1"/>
  <c r="AK108" i="1" s="1"/>
  <c r="AI108" i="1"/>
  <c r="AG108" i="1"/>
  <c r="AF108" i="1"/>
  <c r="AB108" i="1"/>
  <c r="AD108" i="1" s="1"/>
  <c r="Y77" i="1" s="1"/>
  <c r="AA108" i="1"/>
  <c r="Y108" i="1"/>
  <c r="X108" i="1"/>
  <c r="AR107" i="1"/>
  <c r="AQ107" i="1"/>
  <c r="AQ110" i="1" s="1"/>
  <c r="AO107" i="1"/>
  <c r="AN107" i="1"/>
  <c r="AN110" i="1" s="1"/>
  <c r="AI107" i="1"/>
  <c r="AI110" i="1" s="1"/>
  <c r="AG107" i="1"/>
  <c r="AF107" i="1"/>
  <c r="AF110" i="1" s="1"/>
  <c r="AB107" i="1"/>
  <c r="AB110" i="1" s="1"/>
  <c r="AC110" i="1" s="1"/>
  <c r="AA107" i="1"/>
  <c r="AA110" i="1" s="1"/>
  <c r="Y107" i="1"/>
  <c r="Y110" i="1" s="1"/>
  <c r="X107" i="1"/>
  <c r="AD107" i="1" s="1"/>
  <c r="AA105" i="1"/>
  <c r="Y105" i="1"/>
  <c r="AT104" i="1"/>
  <c r="AE73" i="1" s="1"/>
  <c r="AR104" i="1"/>
  <c r="AS104" i="1" s="1"/>
  <c r="AQ104" i="1"/>
  <c r="AO104" i="1"/>
  <c r="AN104" i="1"/>
  <c r="AJ104" i="1"/>
  <c r="AL104" i="1" s="1"/>
  <c r="AB73" i="1" s="1"/>
  <c r="AI104" i="1"/>
  <c r="AG104" i="1"/>
  <c r="AF104" i="1"/>
  <c r="AB104" i="1"/>
  <c r="AA104" i="1"/>
  <c r="Y104" i="1"/>
  <c r="X104" i="1"/>
  <c r="AQ103" i="1"/>
  <c r="AR103" i="1" s="1"/>
  <c r="AO103" i="1"/>
  <c r="AN103" i="1"/>
  <c r="AJ103" i="1"/>
  <c r="AK103" i="1" s="1"/>
  <c r="AI103" i="1"/>
  <c r="AG103" i="1"/>
  <c r="AF103" i="1"/>
  <c r="AL103" i="1" s="1"/>
  <c r="AB72" i="1" s="1"/>
  <c r="AD103" i="1"/>
  <c r="Y72" i="1" s="1"/>
  <c r="AB103" i="1"/>
  <c r="AA103" i="1"/>
  <c r="Y103" i="1"/>
  <c r="X103" i="1"/>
  <c r="AR102" i="1"/>
  <c r="AT102" i="1" s="1"/>
  <c r="AQ102" i="1"/>
  <c r="AQ105" i="1" s="1"/>
  <c r="AO102" i="1"/>
  <c r="AO105" i="1" s="1"/>
  <c r="AN102" i="1"/>
  <c r="AN105" i="1" s="1"/>
  <c r="AI102" i="1"/>
  <c r="AG102" i="1"/>
  <c r="AG105" i="1" s="1"/>
  <c r="AF102" i="1"/>
  <c r="AF105" i="1" s="1"/>
  <c r="AD102" i="1"/>
  <c r="AB102" i="1"/>
  <c r="AC102" i="1" s="1"/>
  <c r="AA102" i="1"/>
  <c r="Y102" i="1"/>
  <c r="X102" i="1"/>
  <c r="X105" i="1" s="1"/>
  <c r="AG100" i="1"/>
  <c r="AA100" i="1"/>
  <c r="AR99" i="1"/>
  <c r="AS99" i="1" s="1"/>
  <c r="AQ99" i="1"/>
  <c r="AO99" i="1"/>
  <c r="AN99" i="1"/>
  <c r="AT99" i="1" s="1"/>
  <c r="AE68" i="1" s="1"/>
  <c r="AJ99" i="1"/>
  <c r="AK99" i="1" s="1"/>
  <c r="AI99" i="1"/>
  <c r="AG99" i="1"/>
  <c r="AF99" i="1"/>
  <c r="AB99" i="1"/>
  <c r="AD99" i="1" s="1"/>
  <c r="Y68" i="1" s="1"/>
  <c r="AA99" i="1"/>
  <c r="Y99" i="1"/>
  <c r="AC99" i="1" s="1"/>
  <c r="X99" i="1"/>
  <c r="AQ98" i="1"/>
  <c r="AR98" i="1" s="1"/>
  <c r="AO98" i="1"/>
  <c r="AN98" i="1"/>
  <c r="AL98" i="1"/>
  <c r="AB67" i="1" s="1"/>
  <c r="AJ98" i="1"/>
  <c r="AK98" i="1" s="1"/>
  <c r="AI98" i="1"/>
  <c r="AG98" i="1"/>
  <c r="AF98" i="1"/>
  <c r="AB98" i="1"/>
  <c r="AD98" i="1" s="1"/>
  <c r="Y67" i="1" s="1"/>
  <c r="AA98" i="1"/>
  <c r="Y98" i="1"/>
  <c r="X98" i="1"/>
  <c r="AR97" i="1"/>
  <c r="AS97" i="1" s="1"/>
  <c r="AQ97" i="1"/>
  <c r="AO97" i="1"/>
  <c r="AN97" i="1"/>
  <c r="AI97" i="1"/>
  <c r="AI100" i="1" s="1"/>
  <c r="AG97" i="1"/>
  <c r="AF97" i="1"/>
  <c r="AF100" i="1" s="1"/>
  <c r="AB97" i="1"/>
  <c r="AB100" i="1" s="1"/>
  <c r="AC100" i="1" s="1"/>
  <c r="AA97" i="1"/>
  <c r="Y97" i="1"/>
  <c r="Y100" i="1" s="1"/>
  <c r="X97" i="1"/>
  <c r="I84" i="1"/>
  <c r="H84" i="1"/>
  <c r="G84" i="1"/>
  <c r="J84" i="1" s="1"/>
  <c r="W82" i="1"/>
  <c r="AD78" i="1"/>
  <c r="AC78" i="1"/>
  <c r="Z78" i="1"/>
  <c r="AA78" i="1" s="1"/>
  <c r="AA79" i="1" s="1"/>
  <c r="W78" i="1"/>
  <c r="X78" i="1" s="1"/>
  <c r="AC77" i="1"/>
  <c r="AD77" i="1" s="1"/>
  <c r="AA77" i="1"/>
  <c r="Z77" i="1"/>
  <c r="X77" i="1"/>
  <c r="W77" i="1"/>
  <c r="AD76" i="1"/>
  <c r="AD79" i="1" s="1"/>
  <c r="AC76" i="1"/>
  <c r="Z76" i="1"/>
  <c r="AA76" i="1" s="1"/>
  <c r="Y76" i="1"/>
  <c r="Y79" i="1" s="1"/>
  <c r="X76" i="1"/>
  <c r="W76" i="1"/>
  <c r="AC73" i="1"/>
  <c r="AD171" i="1" s="1"/>
  <c r="AA73" i="1"/>
  <c r="Z73" i="1"/>
  <c r="W73" i="1"/>
  <c r="X171" i="1" s="1"/>
  <c r="AC72" i="1"/>
  <c r="AD72" i="1" s="1"/>
  <c r="Z72" i="1"/>
  <c r="AA170" i="1" s="1"/>
  <c r="X72" i="1"/>
  <c r="W72" i="1"/>
  <c r="AE71" i="1"/>
  <c r="AC71" i="1"/>
  <c r="AD71" i="1" s="1"/>
  <c r="Z71" i="1"/>
  <c r="AA71" i="1" s="1"/>
  <c r="W71" i="1"/>
  <c r="X169" i="1" s="1"/>
  <c r="X172" i="1" s="1"/>
  <c r="AC68" i="1"/>
  <c r="Z68" i="1"/>
  <c r="X68" i="1"/>
  <c r="W68" i="1"/>
  <c r="AC67" i="1"/>
  <c r="AD165" i="1" s="1"/>
  <c r="Z67" i="1"/>
  <c r="W67" i="1"/>
  <c r="AD66" i="1"/>
  <c r="AC66" i="1"/>
  <c r="Z66" i="1"/>
  <c r="AA164" i="1" s="1"/>
  <c r="W66" i="1"/>
  <c r="X61" i="1"/>
  <c r="X51" i="1"/>
  <c r="X50" i="1"/>
  <c r="V50" i="1"/>
  <c r="X49" i="1"/>
  <c r="V49" i="1"/>
  <c r="V45" i="1"/>
  <c r="V44" i="1"/>
  <c r="M44" i="1"/>
  <c r="M43" i="1"/>
  <c r="M42" i="1"/>
  <c r="M40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E8" i="1"/>
  <c r="E6" i="1"/>
  <c r="W6" i="1" s="1"/>
  <c r="E4" i="1"/>
  <c r="E19" i="1" s="1"/>
  <c r="D4" i="1"/>
  <c r="AJ102" i="1" l="1"/>
  <c r="AI105" i="1"/>
  <c r="AR105" i="1"/>
  <c r="AS105" i="1" s="1"/>
  <c r="AT103" i="1"/>
  <c r="AS103" i="1"/>
  <c r="AL201" i="1"/>
  <c r="AB170" i="1" s="1"/>
  <c r="AK201" i="1"/>
  <c r="AL206" i="1"/>
  <c r="AB175" i="1" s="1"/>
  <c r="AK206" i="1"/>
  <c r="AT197" i="1"/>
  <c r="AE166" i="1" s="1"/>
  <c r="AS197" i="1"/>
  <c r="AD110" i="1"/>
  <c r="AL196" i="1"/>
  <c r="AB165" i="1" s="1"/>
  <c r="AK196" i="1"/>
  <c r="X79" i="1"/>
  <c r="J14" i="1"/>
  <c r="X14" i="1"/>
  <c r="X66" i="1"/>
  <c r="X69" i="1" s="1"/>
  <c r="Y83" i="1" s="1"/>
  <c r="X164" i="1"/>
  <c r="AS201" i="1"/>
  <c r="AT201" i="1"/>
  <c r="AE170" i="1" s="1"/>
  <c r="AT206" i="1"/>
  <c r="AE175" i="1" s="1"/>
  <c r="AS206" i="1"/>
  <c r="AL99" i="1"/>
  <c r="AB68" i="1" s="1"/>
  <c r="AA177" i="1"/>
  <c r="AB198" i="1"/>
  <c r="AC198" i="1" s="1"/>
  <c r="AD195" i="1"/>
  <c r="AC195" i="1"/>
  <c r="AT196" i="1"/>
  <c r="AE165" i="1" s="1"/>
  <c r="AS196" i="1"/>
  <c r="AT202" i="1"/>
  <c r="AE171" i="1" s="1"/>
  <c r="AS202" i="1"/>
  <c r="Y20" i="1"/>
  <c r="J20" i="1"/>
  <c r="AA67" i="1"/>
  <c r="AA165" i="1"/>
  <c r="AA167" i="1" s="1"/>
  <c r="AB181" i="1" s="1"/>
  <c r="AD202" i="1"/>
  <c r="Y171" i="1" s="1"/>
  <c r="AC202" i="1"/>
  <c r="AK205" i="1"/>
  <c r="AJ208" i="1"/>
  <c r="AK208" i="1" s="1"/>
  <c r="AL205" i="1"/>
  <c r="AD207" i="1"/>
  <c r="Y176" i="1" s="1"/>
  <c r="AC207" i="1"/>
  <c r="Y19" i="1"/>
  <c r="AN100" i="1"/>
  <c r="AT98" i="1"/>
  <c r="AE67" i="1" s="1"/>
  <c r="AS98" i="1"/>
  <c r="AT108" i="1"/>
  <c r="AE77" i="1" s="1"/>
  <c r="AS108" i="1"/>
  <c r="AA172" i="1"/>
  <c r="AK195" i="1"/>
  <c r="AJ198" i="1"/>
  <c r="AK198" i="1" s="1"/>
  <c r="AL195" i="1"/>
  <c r="AD197" i="1"/>
  <c r="Y166" i="1" s="1"/>
  <c r="AC197" i="1"/>
  <c r="AJ203" i="1"/>
  <c r="AK203" i="1" s="1"/>
  <c r="AL200" i="1"/>
  <c r="AK200" i="1"/>
  <c r="AD201" i="1"/>
  <c r="Y170" i="1" s="1"/>
  <c r="AC201" i="1"/>
  <c r="F30" i="1"/>
  <c r="AO100" i="1"/>
  <c r="AB105" i="1"/>
  <c r="AC105" i="1" s="1"/>
  <c r="AC112" i="1" s="1"/>
  <c r="AN203" i="1"/>
  <c r="Y22" i="1"/>
  <c r="J22" i="1"/>
  <c r="AQ100" i="1"/>
  <c r="AO110" i="1"/>
  <c r="AL207" i="1"/>
  <c r="AB176" i="1" s="1"/>
  <c r="AK207" i="1"/>
  <c r="F18" i="1"/>
  <c r="J16" i="1"/>
  <c r="X16" i="1"/>
  <c r="G18" i="1"/>
  <c r="AD97" i="1"/>
  <c r="X100" i="1"/>
  <c r="X67" i="1"/>
  <c r="X165" i="1"/>
  <c r="AD104" i="1"/>
  <c r="Y73" i="1" s="1"/>
  <c r="AC104" i="1"/>
  <c r="J19" i="1"/>
  <c r="AR198" i="1"/>
  <c r="AS198" i="1" s="1"/>
  <c r="AT195" i="1"/>
  <c r="AS195" i="1"/>
  <c r="AL197" i="1"/>
  <c r="AB166" i="1" s="1"/>
  <c r="AK197" i="1"/>
  <c r="AR200" i="1"/>
  <c r="AQ203" i="1"/>
  <c r="AK202" i="1"/>
  <c r="W8" i="1"/>
  <c r="J8" i="1"/>
  <c r="G20" i="1"/>
  <c r="G14" i="1"/>
  <c r="W12" i="1"/>
  <c r="J12" i="1"/>
  <c r="AT107" i="1"/>
  <c r="AS107" i="1"/>
  <c r="AR110" i="1"/>
  <c r="AS110" i="1" s="1"/>
  <c r="W10" i="1"/>
  <c r="J10" i="1"/>
  <c r="F20" i="1"/>
  <c r="AA166" i="1"/>
  <c r="AA68" i="1"/>
  <c r="AR100" i="1"/>
  <c r="AT97" i="1"/>
  <c r="AD166" i="1"/>
  <c r="AD68" i="1"/>
  <c r="X73" i="1"/>
  <c r="AD167" i="1"/>
  <c r="AE181" i="1" s="1"/>
  <c r="AT207" i="1"/>
  <c r="AE176" i="1" s="1"/>
  <c r="AS207" i="1"/>
  <c r="G30" i="1"/>
  <c r="Z30" i="1" s="1"/>
  <c r="G34" i="1"/>
  <c r="Z34" i="1" s="1"/>
  <c r="P4" i="1"/>
  <c r="AA66" i="1"/>
  <c r="AA69" i="1" s="1"/>
  <c r="AD67" i="1"/>
  <c r="AD69" i="1" s="1"/>
  <c r="AC97" i="1"/>
  <c r="AC107" i="1"/>
  <c r="AD169" i="1"/>
  <c r="AD172" i="1" s="1"/>
  <c r="AB200" i="1"/>
  <c r="J6" i="1"/>
  <c r="J18" i="1"/>
  <c r="E21" i="1"/>
  <c r="J24" i="1"/>
  <c r="J26" i="1"/>
  <c r="J28" i="1"/>
  <c r="J30" i="1"/>
  <c r="J32" i="1"/>
  <c r="J34" i="1"/>
  <c r="J36" i="1"/>
  <c r="X71" i="1"/>
  <c r="X74" i="1" s="1"/>
  <c r="AA72" i="1"/>
  <c r="AA74" i="1" s="1"/>
  <c r="AD73" i="1"/>
  <c r="AD74" i="1" s="1"/>
  <c r="AC98" i="1"/>
  <c r="AK104" i="1"/>
  <c r="AC108" i="1"/>
  <c r="X110" i="1"/>
  <c r="Y24" i="1"/>
  <c r="Y30" i="1"/>
  <c r="Y71" i="1"/>
  <c r="AI198" i="1"/>
  <c r="AI208" i="1"/>
  <c r="AC109" i="1"/>
  <c r="AR205" i="1"/>
  <c r="E9" i="1"/>
  <c r="G10" i="1" s="1"/>
  <c r="Y28" i="1"/>
  <c r="E15" i="1"/>
  <c r="F16" i="1" s="1"/>
  <c r="E7" i="1"/>
  <c r="E23" i="1"/>
  <c r="G24" i="1" s="1"/>
  <c r="Z24" i="1" s="1"/>
  <c r="E25" i="1"/>
  <c r="G26" i="1" s="1"/>
  <c r="E27" i="1"/>
  <c r="G28" i="1" s="1"/>
  <c r="Z28" i="1" s="1"/>
  <c r="E29" i="1"/>
  <c r="E31" i="1"/>
  <c r="E33" i="1"/>
  <c r="F34" i="1" s="1"/>
  <c r="E35" i="1"/>
  <c r="E37" i="1"/>
  <c r="AJ97" i="1"/>
  <c r="AJ107" i="1"/>
  <c r="E11" i="1"/>
  <c r="Y34" i="1"/>
  <c r="M38" i="1"/>
  <c r="E13" i="1"/>
  <c r="Y18" i="1"/>
  <c r="Y26" i="1"/>
  <c r="Y36" i="1"/>
  <c r="E17" i="1"/>
  <c r="AS102" i="1"/>
  <c r="H7" i="1"/>
  <c r="I7" i="1"/>
  <c r="Y32" i="1"/>
  <c r="AB205" i="1"/>
  <c r="AC103" i="1"/>
  <c r="AB196" i="1"/>
  <c r="F26" i="1"/>
  <c r="F28" i="1"/>
  <c r="F32" i="1"/>
  <c r="Z26" i="1" l="1"/>
  <c r="AE83" i="1"/>
  <c r="J23" i="1"/>
  <c r="G25" i="1"/>
  <c r="Z25" i="1" s="1"/>
  <c r="F25" i="1"/>
  <c r="Y23" i="1"/>
  <c r="G17" i="1"/>
  <c r="F17" i="1"/>
  <c r="X15" i="1"/>
  <c r="J15" i="1"/>
  <c r="AB164" i="1"/>
  <c r="AB167" i="1" s="1"/>
  <c r="AL198" i="1"/>
  <c r="F24" i="1"/>
  <c r="Y164" i="1"/>
  <c r="AB208" i="1"/>
  <c r="AC208" i="1" s="1"/>
  <c r="AD205" i="1"/>
  <c r="AC205" i="1"/>
  <c r="AB174" i="1"/>
  <c r="AB177" i="1" s="1"/>
  <c r="AL208" i="1"/>
  <c r="W11" i="1"/>
  <c r="J11" i="1"/>
  <c r="F13" i="1"/>
  <c r="G13" i="1"/>
  <c r="G12" i="1"/>
  <c r="Y66" i="1"/>
  <c r="Y69" i="1" s="1"/>
  <c r="Y84" i="1" s="1"/>
  <c r="Y86" i="1" s="1"/>
  <c r="AD100" i="1"/>
  <c r="G16" i="1"/>
  <c r="J37" i="1"/>
  <c r="M49" i="1"/>
  <c r="P17" i="1" s="1"/>
  <c r="M41" i="1"/>
  <c r="F79" i="1"/>
  <c r="Y37" i="1"/>
  <c r="Y74" i="1"/>
  <c r="AT110" i="1"/>
  <c r="AE76" i="1"/>
  <c r="AE79" i="1" s="1"/>
  <c r="AT200" i="1"/>
  <c r="AS200" i="1"/>
  <c r="AR203" i="1"/>
  <c r="AS203" i="1" s="1"/>
  <c r="AS210" i="1" s="1"/>
  <c r="AE72" i="1"/>
  <c r="AE74" i="1" s="1"/>
  <c r="AT105" i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W9" i="1"/>
  <c r="J9" i="1"/>
  <c r="F11" i="1"/>
  <c r="G11" i="1"/>
  <c r="AL107" i="1"/>
  <c r="AK107" i="1"/>
  <c r="AJ110" i="1"/>
  <c r="AK110" i="1" s="1"/>
  <c r="J35" i="1"/>
  <c r="F37" i="1"/>
  <c r="M39" i="1"/>
  <c r="Y35" i="1"/>
  <c r="Y21" i="1"/>
  <c r="G23" i="1"/>
  <c r="Z23" i="1" s="1"/>
  <c r="J21" i="1"/>
  <c r="F23" i="1"/>
  <c r="F22" i="1"/>
  <c r="AD105" i="1"/>
  <c r="F36" i="1"/>
  <c r="AR208" i="1"/>
  <c r="AS208" i="1" s="1"/>
  <c r="AT205" i="1"/>
  <c r="AS205" i="1"/>
  <c r="J33" i="1"/>
  <c r="G35" i="1"/>
  <c r="Z35" i="1" s="1"/>
  <c r="F35" i="1"/>
  <c r="E48" i="1"/>
  <c r="Y33" i="1"/>
  <c r="AB83" i="1"/>
  <c r="AL97" i="1"/>
  <c r="AK97" i="1"/>
  <c r="AJ100" i="1"/>
  <c r="AK100" i="1" s="1"/>
  <c r="J31" i="1"/>
  <c r="G33" i="1"/>
  <c r="Z33" i="1" s="1"/>
  <c r="F33" i="1"/>
  <c r="Y31" i="1"/>
  <c r="G21" i="1"/>
  <c r="AL102" i="1"/>
  <c r="AK102" i="1"/>
  <c r="AJ105" i="1"/>
  <c r="AK105" i="1" s="1"/>
  <c r="AK112" i="1" s="1"/>
  <c r="W13" i="1"/>
  <c r="X13" i="1" s="1"/>
  <c r="J13" i="1"/>
  <c r="G15" i="1"/>
  <c r="F15" i="1"/>
  <c r="E47" i="1"/>
  <c r="J29" i="1"/>
  <c r="G31" i="1"/>
  <c r="Z31" i="1" s="1"/>
  <c r="F31" i="1"/>
  <c r="Y29" i="1"/>
  <c r="AB203" i="1"/>
  <c r="AC203" i="1" s="1"/>
  <c r="AC210" i="1" s="1"/>
  <c r="AD200" i="1"/>
  <c r="AC200" i="1"/>
  <c r="AE66" i="1"/>
  <c r="AE69" i="1" s="1"/>
  <c r="AT100" i="1"/>
  <c r="AT198" i="1"/>
  <c r="AE164" i="1"/>
  <c r="AE167" i="1" s="1"/>
  <c r="F21" i="1"/>
  <c r="I8" i="1"/>
  <c r="I9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W7" i="1"/>
  <c r="J7" i="1"/>
  <c r="G9" i="1"/>
  <c r="F9" i="1"/>
  <c r="F8" i="1"/>
  <c r="G8" i="1"/>
  <c r="F39" i="1"/>
  <c r="F40" i="1"/>
  <c r="F43" i="1"/>
  <c r="J27" i="1"/>
  <c r="G29" i="1"/>
  <c r="Z29" i="1" s="1"/>
  <c r="F29" i="1"/>
  <c r="Y27" i="1"/>
  <c r="AS100" i="1"/>
  <c r="AS112" i="1" s="1"/>
  <c r="AL203" i="1"/>
  <c r="AB169" i="1"/>
  <c r="AB172" i="1" s="1"/>
  <c r="G22" i="1"/>
  <c r="Z22" i="1" s="1"/>
  <c r="F12" i="1"/>
  <c r="AD196" i="1"/>
  <c r="Y165" i="1" s="1"/>
  <c r="AC196" i="1"/>
  <c r="G19" i="1"/>
  <c r="F19" i="1"/>
  <c r="J17" i="1"/>
  <c r="X17" i="1"/>
  <c r="Y17" i="1" s="1"/>
  <c r="J25" i="1"/>
  <c r="G27" i="1"/>
  <c r="G40" i="1" s="1"/>
  <c r="F27" i="1"/>
  <c r="F44" i="1" s="1"/>
  <c r="Y25" i="1"/>
  <c r="F14" i="1"/>
  <c r="G32" i="1"/>
  <c r="Z32" i="1" s="1"/>
  <c r="AK210" i="1"/>
  <c r="X167" i="1"/>
  <c r="Y181" i="1" s="1"/>
  <c r="F10" i="1"/>
  <c r="F73" i="1"/>
  <c r="F58" i="1"/>
  <c r="F67" i="1"/>
  <c r="F61" i="1"/>
  <c r="F64" i="1"/>
  <c r="F55" i="1"/>
  <c r="F70" i="1"/>
  <c r="J44" i="1"/>
  <c r="J39" i="1"/>
  <c r="J43" i="1"/>
  <c r="J41" i="1"/>
  <c r="J38" i="1"/>
  <c r="J42" i="1"/>
  <c r="J40" i="1"/>
  <c r="G70" i="1"/>
  <c r="G73" i="1"/>
  <c r="G58" i="1"/>
  <c r="G67" i="1"/>
  <c r="G61" i="1"/>
  <c r="G64" i="1"/>
  <c r="G55" i="1"/>
  <c r="Z38" i="1" l="1"/>
  <c r="Z41" i="1"/>
  <c r="Z40" i="1"/>
  <c r="Z39" i="1"/>
  <c r="G85" i="1"/>
  <c r="Y49" i="1" s="1"/>
  <c r="Z49" i="1" s="1"/>
  <c r="J80" i="1"/>
  <c r="J49" i="1"/>
  <c r="P14" i="1" s="1"/>
  <c r="J85" i="1"/>
  <c r="F85" i="1"/>
  <c r="H27" i="1"/>
  <c r="I27" i="1"/>
  <c r="AD203" i="1"/>
  <c r="Y169" i="1"/>
  <c r="Y172" i="1" s="1"/>
  <c r="AD198" i="1"/>
  <c r="AT203" i="1"/>
  <c r="AE169" i="1"/>
  <c r="AE172" i="1" s="1"/>
  <c r="Y167" i="1"/>
  <c r="G42" i="1"/>
  <c r="G44" i="1"/>
  <c r="Y174" i="1"/>
  <c r="Y177" i="1" s="1"/>
  <c r="AD208" i="1"/>
  <c r="AB182" i="1"/>
  <c r="AB184" i="1" s="1"/>
  <c r="G39" i="1"/>
  <c r="G38" i="1"/>
  <c r="G49" i="1" s="1"/>
  <c r="P8" i="1" s="1"/>
  <c r="AB76" i="1"/>
  <c r="AB79" i="1" s="1"/>
  <c r="AL110" i="1"/>
  <c r="G41" i="1"/>
  <c r="AB71" i="1"/>
  <c r="AB74" i="1" s="1"/>
  <c r="AL105" i="1"/>
  <c r="G43" i="1"/>
  <c r="F42" i="1"/>
  <c r="AL100" i="1"/>
  <c r="AB66" i="1"/>
  <c r="AB69" i="1" s="1"/>
  <c r="AB84" i="1" s="1"/>
  <c r="AB86" i="1" s="1"/>
  <c r="AT208" i="1"/>
  <c r="AE174" i="1"/>
  <c r="AE177" i="1" s="1"/>
  <c r="AE182" i="1" s="1"/>
  <c r="AE184" i="1" s="1"/>
  <c r="Z27" i="1"/>
  <c r="F38" i="1"/>
  <c r="F49" i="1" s="1"/>
  <c r="P6" i="1" s="1"/>
  <c r="I79" i="1"/>
  <c r="X45" i="1"/>
  <c r="H79" i="1"/>
  <c r="X44" i="1"/>
  <c r="G79" i="1"/>
  <c r="F80" i="1"/>
  <c r="P7" i="1" s="1"/>
  <c r="X46" i="1"/>
  <c r="G37" i="1"/>
  <c r="Z37" i="1" s="1"/>
  <c r="F41" i="1"/>
  <c r="AE84" i="1"/>
  <c r="AE86" i="1" s="1"/>
  <c r="G36" i="1"/>
  <c r="Z36" i="1" s="1"/>
  <c r="G54" i="1"/>
  <c r="G72" i="1"/>
  <c r="L39" i="1"/>
  <c r="F71" i="1"/>
  <c r="F60" i="1"/>
  <c r="G53" i="1"/>
  <c r="G68" i="1"/>
  <c r="K39" i="1"/>
  <c r="G69" i="1"/>
  <c r="L44" i="1"/>
  <c r="F72" i="1"/>
  <c r="K40" i="1"/>
  <c r="K44" i="1"/>
  <c r="F65" i="1"/>
  <c r="G63" i="1"/>
  <c r="L40" i="1"/>
  <c r="F69" i="1"/>
  <c r="G62" i="1"/>
  <c r="L42" i="1"/>
  <c r="F68" i="1"/>
  <c r="F66" i="1"/>
  <c r="K42" i="1"/>
  <c r="F54" i="1"/>
  <c r="G71" i="1"/>
  <c r="F57" i="1"/>
  <c r="G60" i="1"/>
  <c r="F53" i="1"/>
  <c r="K43" i="1"/>
  <c r="G59" i="1"/>
  <c r="K38" i="1"/>
  <c r="F62" i="1"/>
  <c r="K41" i="1"/>
  <c r="G65" i="1"/>
  <c r="L38" i="1"/>
  <c r="F63" i="1"/>
  <c r="G66" i="1"/>
  <c r="G57" i="1"/>
  <c r="F59" i="1"/>
  <c r="L43" i="1"/>
  <c r="L41" i="1"/>
  <c r="F56" i="1"/>
  <c r="G56" i="1"/>
  <c r="AA39" i="1" l="1"/>
  <c r="J87" i="1"/>
  <c r="AB39" i="1"/>
  <c r="J82" i="1"/>
  <c r="L49" i="1"/>
  <c r="P16" i="1" s="1"/>
  <c r="J86" i="1"/>
  <c r="K49" i="1"/>
  <c r="P15" i="1" s="1"/>
  <c r="AA40" i="1"/>
  <c r="F81" i="1"/>
  <c r="AB40" i="1"/>
  <c r="G86" i="1"/>
  <c r="Y50" i="1" s="1"/>
  <c r="Z50" i="1" s="1"/>
  <c r="F82" i="1"/>
  <c r="AA41" i="1"/>
  <c r="AB41" i="1"/>
  <c r="F87" i="1"/>
  <c r="J81" i="1"/>
  <c r="AA38" i="1"/>
  <c r="F86" i="1"/>
  <c r="G87" i="1"/>
  <c r="Y51" i="1" s="1"/>
  <c r="Z51" i="1" s="1"/>
  <c r="AB38" i="1"/>
  <c r="AB37" i="1"/>
  <c r="AA37" i="1"/>
  <c r="I28" i="1"/>
  <c r="H28" i="1"/>
  <c r="Y182" i="1"/>
  <c r="Y184" i="1" s="1"/>
  <c r="G80" i="1"/>
  <c r="P9" i="1" s="1"/>
  <c r="G81" i="1"/>
  <c r="Y45" i="1" s="1"/>
  <c r="Z45" i="1" s="1"/>
  <c r="G82" i="1"/>
  <c r="Y46" i="1" s="1"/>
  <c r="Z46" i="1" s="1"/>
  <c r="J79" i="1"/>
  <c r="Y44" i="1"/>
  <c r="Z44" i="1" s="1"/>
  <c r="I29" i="1" l="1"/>
  <c r="H29" i="1"/>
  <c r="H30" i="1" l="1"/>
  <c r="I30" i="1"/>
  <c r="I31" i="1" l="1"/>
  <c r="H31" i="1"/>
  <c r="H32" i="1" l="1"/>
  <c r="I32" i="1"/>
  <c r="I33" i="1" l="1"/>
  <c r="H33" i="1"/>
  <c r="H34" i="1" l="1"/>
  <c r="I34" i="1"/>
  <c r="I35" i="1" l="1"/>
  <c r="H35" i="1"/>
  <c r="H36" i="1" l="1"/>
  <c r="I36" i="1"/>
  <c r="I37" i="1" l="1"/>
  <c r="H37" i="1"/>
  <c r="I55" i="1"/>
  <c r="I73" i="1"/>
  <c r="I58" i="1"/>
  <c r="I67" i="1"/>
  <c r="I61" i="1"/>
  <c r="I64" i="1"/>
  <c r="I70" i="1"/>
  <c r="H55" i="1"/>
  <c r="H67" i="1"/>
  <c r="H61" i="1"/>
  <c r="H64" i="1"/>
  <c r="H73" i="1"/>
  <c r="H58" i="1"/>
  <c r="H70" i="1"/>
  <c r="H85" i="1" l="1"/>
  <c r="H80" i="1"/>
  <c r="P11" i="1" s="1"/>
  <c r="I85" i="1"/>
  <c r="I80" i="1"/>
  <c r="P13" i="1" s="1"/>
  <c r="H42" i="1"/>
  <c r="H40" i="1"/>
  <c r="H43" i="1"/>
  <c r="H44" i="1"/>
  <c r="H41" i="1"/>
  <c r="H39" i="1"/>
  <c r="H38" i="1"/>
  <c r="I41" i="1"/>
  <c r="I38" i="1"/>
  <c r="I40" i="1"/>
  <c r="I43" i="1"/>
  <c r="I39" i="1"/>
  <c r="I42" i="1"/>
  <c r="I44" i="1"/>
  <c r="H69" i="1"/>
  <c r="I68" i="1"/>
  <c r="I62" i="1"/>
  <c r="I59" i="1"/>
  <c r="H72" i="1"/>
  <c r="I72" i="1"/>
  <c r="H68" i="1"/>
  <c r="I69" i="1"/>
  <c r="I60" i="1"/>
  <c r="I65" i="1"/>
  <c r="H63" i="1"/>
  <c r="I57" i="1"/>
  <c r="H59" i="1"/>
  <c r="I53" i="1"/>
  <c r="H56" i="1"/>
  <c r="I63" i="1"/>
  <c r="H60" i="1"/>
  <c r="I71" i="1"/>
  <c r="H57" i="1"/>
  <c r="I66" i="1"/>
  <c r="H54" i="1"/>
  <c r="H71" i="1"/>
  <c r="I56" i="1"/>
  <c r="H65" i="1"/>
  <c r="I54" i="1"/>
  <c r="H62" i="1"/>
  <c r="H66" i="1"/>
  <c r="H53" i="1"/>
  <c r="H81" i="1" l="1"/>
  <c r="I82" i="1"/>
  <c r="H86" i="1"/>
  <c r="H82" i="1"/>
  <c r="I86" i="1"/>
  <c r="I81" i="1"/>
  <c r="I87" i="1"/>
  <c r="H87" i="1"/>
  <c r="I49" i="1"/>
  <c r="P12" i="1" s="1"/>
  <c r="H49" i="1"/>
  <c r="P10" i="1" s="1"/>
  <c r="P21" i="1" l="1"/>
  <c r="Q21" i="1" s="1"/>
  <c r="P22" i="1"/>
  <c r="Q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Tay</author>
  </authors>
  <commentList>
    <comment ref="T61" authorId="0" shapeId="0" xr:uid="{00BB17AC-9F29-41CE-8996-CB2201E3B4A4}">
      <text>
        <r>
          <rPr>
            <b/>
            <sz val="10"/>
            <color rgb="FFFF0000"/>
            <rFont val="Tahoma"/>
            <family val="2"/>
          </rPr>
          <t xml:space="preserve">DO NOT </t>
        </r>
        <r>
          <rPr>
            <b/>
            <sz val="10"/>
            <color rgb="FF000000"/>
            <rFont val="Tahoma"/>
            <family val="2"/>
          </rPr>
          <t>EDIT or CHANGE CELL ELEMENTS IN THIS TABLE.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X63" authorId="0" shapeId="0" xr:uid="{84B0630D-CDA4-4C77-B0D2-6C751BA29FD2}">
      <text>
        <r>
          <rPr>
            <sz val="10"/>
            <color rgb="FF000000"/>
            <rFont val="Tahoma"/>
            <family val="2"/>
          </rPr>
          <t xml:space="preserve">Initial forecast based on Scenario chosen to best represent line item.
</t>
        </r>
      </text>
    </comment>
    <comment ref="T92" authorId="0" shapeId="0" xr:uid="{80A04854-83C2-4145-A20F-2CFEA2830A08}">
      <text>
        <r>
          <rPr>
            <b/>
            <sz val="10"/>
            <color rgb="FF000000"/>
            <rFont val="Tahoma"/>
            <family val="2"/>
          </rPr>
          <t xml:space="preserve">MAKE SELECTIONS in this Table 2.  </t>
        </r>
        <r>
          <rPr>
            <sz val="10"/>
            <color rgb="FF000000"/>
            <rFont val="Tahoma"/>
            <family val="2"/>
          </rPr>
          <t xml:space="preserve">The changes will be reflected in Table 1.
</t>
        </r>
      </text>
    </comment>
    <comment ref="T159" authorId="0" shapeId="0" xr:uid="{AC9F1C65-6CCE-4C55-B44A-B4DF39A3699C}">
      <text>
        <r>
          <rPr>
            <b/>
            <sz val="10"/>
            <color rgb="FFFF0000"/>
            <rFont val="Tahoma"/>
            <family val="2"/>
          </rPr>
          <t xml:space="preserve">DO NOT </t>
        </r>
        <r>
          <rPr>
            <b/>
            <sz val="10"/>
            <color rgb="FF000000"/>
            <rFont val="Tahoma"/>
            <family val="2"/>
          </rPr>
          <t>EDIT or CHANGE CELL ELEMENTS IN THIS TABLE.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X161" authorId="0" shapeId="0" xr:uid="{BAF53650-FFF1-4CC8-86B2-D8BBABADDDF1}">
      <text>
        <r>
          <rPr>
            <sz val="10"/>
            <color rgb="FF000000"/>
            <rFont val="Tahoma"/>
            <family val="2"/>
          </rPr>
          <t xml:space="preserve">Initial forecast based on Scenario chosen to best represent line item.
</t>
        </r>
      </text>
    </comment>
    <comment ref="T190" authorId="0" shapeId="0" xr:uid="{4E4D3BA2-A0F7-4A9C-ABCE-4AEB85B3DD04}">
      <text>
        <r>
          <rPr>
            <b/>
            <sz val="10"/>
            <color rgb="FF000000"/>
            <rFont val="Tahoma"/>
            <family val="2"/>
          </rPr>
          <t xml:space="preserve">MAKE SELECTIONS in this Table 2.  </t>
        </r>
        <r>
          <rPr>
            <sz val="10"/>
            <color rgb="FF000000"/>
            <rFont val="Tahoma"/>
            <family val="2"/>
          </rPr>
          <t xml:space="preserve">The changes will be reflected in Table 1.
</t>
        </r>
      </text>
    </comment>
  </commentList>
</comments>
</file>

<file path=xl/sharedStrings.xml><?xml version="1.0" encoding="utf-8"?>
<sst xmlns="http://schemas.openxmlformats.org/spreadsheetml/2006/main" count="1261" uniqueCount="165">
  <si>
    <t>TIME SERIES FORECASTING - MOVING AVERAGE, EXPONENTIAL SMOOTHING</t>
  </si>
  <si>
    <t>Starbucks</t>
  </si>
  <si>
    <t>(FY - Sep)</t>
  </si>
  <si>
    <r>
      <rPr>
        <b/>
        <sz val="16"/>
        <color rgb="FFC00000"/>
        <rFont val="Calibri (Body)"/>
      </rPr>
      <t xml:space="preserve">       ⇣</t>
    </r>
    <r>
      <rPr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 (Body)"/>
      </rPr>
      <t>Select Option from drop down menu</t>
    </r>
  </si>
  <si>
    <t>SEGMENT ANALYSIS</t>
  </si>
  <si>
    <t>2 = X11</t>
  </si>
  <si>
    <t>3 (alpha=0.7)</t>
  </si>
  <si>
    <t>3a (alpha=0.3)</t>
  </si>
  <si>
    <t>4a</t>
  </si>
  <si>
    <t>4b</t>
  </si>
  <si>
    <t>QUARTER</t>
  </si>
  <si>
    <t>5MA Symm</t>
  </si>
  <si>
    <t>Forecast Smoothing using</t>
  </si>
  <si>
    <t>ROW</t>
  </si>
  <si>
    <t>X</t>
  </si>
  <si>
    <t>YEAR</t>
  </si>
  <si>
    <t>QTR</t>
  </si>
  <si>
    <t>Starbucks - Raw Data</t>
  </si>
  <si>
    <t>3-MA Simple</t>
  </si>
  <si>
    <t>5-MA Symm</t>
  </si>
  <si>
    <t>ES1</t>
  </si>
  <si>
    <t>ES1a</t>
  </si>
  <si>
    <t>ETS</t>
  </si>
  <si>
    <t>ETS (LB)</t>
  </si>
  <si>
    <t>ETS (UB)</t>
  </si>
  <si>
    <t>TTM</t>
  </si>
  <si>
    <t>Forecast (26)</t>
  </si>
  <si>
    <t>Method</t>
  </si>
  <si>
    <t>Smoothing</t>
  </si>
  <si>
    <t>Pre-Pandemic</t>
  </si>
  <si>
    <t>Pandemic</t>
  </si>
  <si>
    <t>Post-Pandemic</t>
  </si>
  <si>
    <t>Smoothen Data</t>
  </si>
  <si>
    <t>LB</t>
  </si>
  <si>
    <t>UB</t>
  </si>
  <si>
    <t>Q1</t>
  </si>
  <si>
    <t>3MA</t>
  </si>
  <si>
    <t>Q2</t>
  </si>
  <si>
    <t>3MA (ETS)</t>
  </si>
  <si>
    <t>Q3</t>
  </si>
  <si>
    <t>Alpha 0.7</t>
  </si>
  <si>
    <t>Q4</t>
  </si>
  <si>
    <t>5MA Symm (ETS)</t>
  </si>
  <si>
    <t>Alpha 0.3</t>
  </si>
  <si>
    <t>None</t>
  </si>
  <si>
    <t>ES1 (ETS)</t>
  </si>
  <si>
    <t>ES1a (ETS)</t>
  </si>
  <si>
    <t xml:space="preserve">Cuurent Qs = </t>
  </si>
  <si>
    <t xml:space="preserve">Forecast Qs = </t>
  </si>
  <si>
    <t>FY 2025 (f) =</t>
  </si>
  <si>
    <t>EXP</t>
  </si>
  <si>
    <t>FY 2024</t>
  </si>
  <si>
    <t>FY 2025</t>
  </si>
  <si>
    <t>FY 2026 (f) =</t>
  </si>
  <si>
    <t>FY 2026 (f)</t>
  </si>
  <si>
    <t>Q1 LB</t>
  </si>
  <si>
    <t>Q1 UB</t>
  </si>
  <si>
    <t>2026 (f)</t>
  </si>
  <si>
    <t>Q2 LB</t>
  </si>
  <si>
    <t>PEST Factors</t>
  </si>
  <si>
    <t>Political</t>
  </si>
  <si>
    <t>Economic</t>
  </si>
  <si>
    <t>Social</t>
  </si>
  <si>
    <t>Technological</t>
  </si>
  <si>
    <t>Q2 UB</t>
  </si>
  <si>
    <t>Wars</t>
  </si>
  <si>
    <t>Inflation</t>
  </si>
  <si>
    <t>WFH</t>
  </si>
  <si>
    <t>Web</t>
  </si>
  <si>
    <t>Govt Policies</t>
  </si>
  <si>
    <t>Employment</t>
  </si>
  <si>
    <t>Buy Online</t>
  </si>
  <si>
    <t>Payment</t>
  </si>
  <si>
    <t>Q3 LB</t>
  </si>
  <si>
    <t>Political Tension</t>
  </si>
  <si>
    <t>PPP</t>
  </si>
  <si>
    <t>Streaming</t>
  </si>
  <si>
    <t>AI</t>
  </si>
  <si>
    <t>Q3 UB</t>
  </si>
  <si>
    <t>TABLE 1</t>
  </si>
  <si>
    <t>SCENARIO FORECAST</t>
  </si>
  <si>
    <t>Smoothing:</t>
  </si>
  <si>
    <t>Q4 LB</t>
  </si>
  <si>
    <t>Using Segment Data</t>
  </si>
  <si>
    <t>SCENARIOS</t>
  </si>
  <si>
    <t>Q4 UB</t>
  </si>
  <si>
    <t>Expected</t>
  </si>
  <si>
    <t>Forecast</t>
  </si>
  <si>
    <t>Forecast (Adj)</t>
  </si>
  <si>
    <t>Optimistic</t>
  </si>
  <si>
    <t>Pessimistic</t>
  </si>
  <si>
    <t>Impact %</t>
  </si>
  <si>
    <t>LOB</t>
  </si>
  <si>
    <t>Beverage</t>
  </si>
  <si>
    <t>Food</t>
  </si>
  <si>
    <t>Other (LOB)</t>
  </si>
  <si>
    <t>TOTAL</t>
  </si>
  <si>
    <t>MARKET</t>
  </si>
  <si>
    <t>North America</t>
  </si>
  <si>
    <t>International</t>
  </si>
  <si>
    <t>Others (MKT)</t>
  </si>
  <si>
    <t>STORE TYPE</t>
  </si>
  <si>
    <t>Company-Op</t>
  </si>
  <si>
    <t>Licensed</t>
  </si>
  <si>
    <t>Other (STORE)</t>
  </si>
  <si>
    <t>FY 2026 (to date)</t>
  </si>
  <si>
    <t>Exp</t>
  </si>
  <si>
    <t>Actual</t>
  </si>
  <si>
    <t>Initial</t>
  </si>
  <si>
    <t>Scenario F</t>
  </si>
  <si>
    <t>FY 2027 (f) TTM</t>
  </si>
  <si>
    <t>FY2026 (f) vs FY2025 (a)</t>
  </si>
  <si>
    <t>Adjusted with compounding</t>
  </si>
  <si>
    <t>SEGMENT</t>
  </si>
  <si>
    <t>LIST</t>
  </si>
  <si>
    <t>or discounting factor</t>
  </si>
  <si>
    <t>TABLE 2</t>
  </si>
  <si>
    <t>ADJUSTMENTS (only on forecast numbers)</t>
  </si>
  <si>
    <t>Current Qs</t>
  </si>
  <si>
    <t>Initial Q Forecast</t>
  </si>
  <si>
    <t>% Adjments</t>
  </si>
  <si>
    <t>Forecast Qs</t>
  </si>
  <si>
    <t>Adj Forecast Qs</t>
  </si>
  <si>
    <t>Applicable Var</t>
  </si>
  <si>
    <t>New Forecast (Adj)</t>
  </si>
  <si>
    <t>% Adjustments</t>
  </si>
  <si>
    <t>PEST Impact</t>
  </si>
  <si>
    <t>▼</t>
  </si>
  <si>
    <t>Choose Scenario (Dropdown List)</t>
  </si>
  <si>
    <t xml:space="preserve">Input discount (negative) or compound (positive) % </t>
  </si>
  <si>
    <t>TABLE 3</t>
  </si>
  <si>
    <t>5MA</t>
  </si>
  <si>
    <t>ALPHA 0.3</t>
  </si>
  <si>
    <t>ALPHA 0.7</t>
  </si>
  <si>
    <r>
      <t xml:space="preserve"> </t>
    </r>
    <r>
      <rPr>
        <b/>
        <sz val="12"/>
        <color theme="1"/>
        <rFont val="Calibri"/>
        <family val="2"/>
        <scheme val="minor"/>
      </rPr>
      <t>CATEGORY</t>
    </r>
  </si>
  <si>
    <t>Note:</t>
  </si>
  <si>
    <t>1.  3-MA Simple</t>
  </si>
  <si>
    <t>F7=average (x1+x2+x3)</t>
  </si>
  <si>
    <t>2.  5-MA Symm</t>
  </si>
  <si>
    <t>G7=average (x1+x2+x3+x4+x5)</t>
  </si>
  <si>
    <t>3.  Exp Smoothing (ES)</t>
  </si>
  <si>
    <t>H7=x1, G8=(0.7*x2)+(0.3*G6) etc.</t>
  </si>
  <si>
    <t>⍺ = 0.7</t>
  </si>
  <si>
    <t>(Dampening Factor = blank (default))</t>
  </si>
  <si>
    <t>3a. Exp Smoothing (ES)</t>
  </si>
  <si>
    <t>I7=x1, G8=(0.3*x2)+(0.7*G6) etc.</t>
  </si>
  <si>
    <t>⍺ = 0.3</t>
  </si>
  <si>
    <t>(Dampening Factor = 0.7)</t>
  </si>
  <si>
    <t>4.  Forecast ETS (using Raw Data)</t>
  </si>
  <si>
    <t>Use FORECAST.ETS formula</t>
  </si>
  <si>
    <t>4a Lower Bound Confidence Level</t>
  </si>
  <si>
    <t>Use FORECAST.ETS.CONFINT formula</t>
  </si>
  <si>
    <t>(4a and 4b are the extensions to FORECAST.ETS providing confidence levels)</t>
  </si>
  <si>
    <t>4b Upper Bound Confidence Level</t>
  </si>
  <si>
    <t>5.  Trailing Twelve Months (TTM)</t>
  </si>
  <si>
    <t>M8=sum(x1..x4), M9=sum(x2..x5) etc.</t>
  </si>
  <si>
    <t>For forecast.ets, remember to reference lock ($$) the cells</t>
  </si>
  <si>
    <t>For forecast.linear, remember to reference lock ($$) the cells</t>
  </si>
  <si>
    <r>
      <t>The FORECAST.ETS function calculates or </t>
    </r>
    <r>
      <rPr>
        <b/>
        <sz val="11"/>
        <color rgb="FF202124"/>
        <rFont val="Arial"/>
        <family val="2"/>
      </rPr>
      <t>predicts</t>
    </r>
    <r>
      <rPr>
        <sz val="11"/>
        <color rgb="FF202124"/>
        <rFont val="Arial"/>
        <family val="2"/>
      </rPr>
      <t> a future value based on existing (historical) values. 
The predicted value is a continuation of the historical values in the specified target date, which should be a continuation of the timeline.</t>
    </r>
  </si>
  <si>
    <t>NB: Replace this table with the relevant Smoothing Table.</t>
  </si>
  <si>
    <t>2027 (f) TTM</t>
  </si>
  <si>
    <t>FY 2026 (f) Exp</t>
  </si>
  <si>
    <t>FY 2027 (f)</t>
  </si>
  <si>
    <t>FY2027 (f) vs FY2026 (f) Exp</t>
  </si>
  <si>
    <t>FY 2027 (f)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</si>
</sst>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C00000"/>
      <name val="Calibri (Body)"/>
    </font>
    <font>
      <sz val="12"/>
      <color theme="1"/>
      <name val="Calibri (Body)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rgb="FF202124"/>
      <name val="Arial"/>
      <family val="2"/>
    </font>
    <font>
      <sz val="12"/>
      <color rgb="FF20212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202124"/>
      <name val="Arial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9D4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4" fontId="0" fillId="3" borderId="0" xfId="1" applyFont="1" applyFill="1" applyBorder="1" applyAlignment="1">
      <alignment horizontal="center" vertical="center"/>
    </xf>
    <xf numFmtId="164" fontId="0" fillId="3" borderId="0" xfId="0" applyNumberForma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right" vertical="center"/>
    </xf>
    <xf numFmtId="165" fontId="0" fillId="0" borderId="0" xfId="0" applyNumberFormat="1" applyAlignment="1">
      <alignment vertical="center"/>
    </xf>
    <xf numFmtId="165" fontId="0" fillId="0" borderId="0" xfId="1" applyNumberFormat="1" applyFont="1" applyFill="1" applyAlignment="1">
      <alignment vertical="center"/>
    </xf>
    <xf numFmtId="165" fontId="0" fillId="4" borderId="0" xfId="1" applyNumberFormat="1" applyFont="1" applyFill="1" applyAlignment="1">
      <alignment vertical="center"/>
    </xf>
    <xf numFmtId="165" fontId="0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vertical="center" wrapText="1"/>
    </xf>
    <xf numFmtId="165" fontId="0" fillId="7" borderId="0" xfId="1" applyNumberFormat="1" applyFont="1" applyFill="1" applyAlignment="1">
      <alignment horizontal="right" vertical="center"/>
    </xf>
    <xf numFmtId="165" fontId="0" fillId="3" borderId="0" xfId="1" applyNumberFormat="1" applyFont="1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165" fontId="0" fillId="8" borderId="0" xfId="1" applyNumberFormat="1" applyFont="1" applyFill="1" applyAlignment="1">
      <alignment vertical="center"/>
    </xf>
    <xf numFmtId="0" fontId="8" fillId="0" borderId="0" xfId="0" applyFont="1" applyAlignment="1">
      <alignment horizontal="left" vertical="center" wrapText="1"/>
    </xf>
    <xf numFmtId="165" fontId="9" fillId="0" borderId="0" xfId="1" applyNumberFormat="1" applyFont="1" applyFill="1" applyAlignment="1">
      <alignment vertical="center" wrapText="1"/>
    </xf>
    <xf numFmtId="0" fontId="10" fillId="0" borderId="0" xfId="0" applyFont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5" fontId="9" fillId="0" borderId="0" xfId="1" applyNumberFormat="1" applyFont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Fill="1" applyBorder="1" applyAlignment="1">
      <alignment horizontal="right" vertical="center"/>
    </xf>
    <xf numFmtId="0" fontId="6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5" xfId="1" applyNumberFormat="1" applyFont="1" applyFill="1" applyBorder="1" applyAlignment="1">
      <alignment horizontal="right" vertical="center"/>
    </xf>
    <xf numFmtId="165" fontId="0" fillId="0" borderId="6" xfId="1" applyNumberFormat="1" applyFont="1" applyFill="1" applyBorder="1" applyAlignment="1">
      <alignment horizontal="right" vertical="center"/>
    </xf>
    <xf numFmtId="0" fontId="0" fillId="9" borderId="7" xfId="0" applyFill="1" applyBorder="1" applyAlignment="1">
      <alignment horizontal="center" vertical="center"/>
    </xf>
    <xf numFmtId="165" fontId="0" fillId="0" borderId="7" xfId="1" applyNumberFormat="1" applyFont="1" applyBorder="1" applyAlignment="1">
      <alignment horizontal="right" vertical="center"/>
    </xf>
    <xf numFmtId="165" fontId="0" fillId="0" borderId="7" xfId="1" applyNumberFormat="1" applyFont="1" applyFill="1" applyBorder="1" applyAlignment="1">
      <alignment horizontal="right" vertical="center"/>
    </xf>
    <xf numFmtId="165" fontId="0" fillId="0" borderId="8" xfId="1" applyNumberFormat="1" applyFont="1" applyBorder="1" applyAlignment="1">
      <alignment horizontal="right" vertical="center"/>
    </xf>
    <xf numFmtId="0" fontId="0" fillId="9" borderId="5" xfId="0" applyFill="1" applyBorder="1" applyAlignment="1">
      <alignment horizontal="center" vertical="center"/>
    </xf>
    <xf numFmtId="165" fontId="0" fillId="0" borderId="5" xfId="1" applyNumberFormat="1" applyFont="1" applyBorder="1" applyAlignment="1">
      <alignment horizontal="right" vertical="center"/>
    </xf>
    <xf numFmtId="165" fontId="0" fillId="0" borderId="6" xfId="1" applyNumberFormat="1" applyFont="1" applyBorder="1" applyAlignment="1">
      <alignment horizontal="right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65" fontId="0" fillId="10" borderId="5" xfId="1" applyNumberFormat="1" applyFont="1" applyFill="1" applyBorder="1" applyAlignment="1">
      <alignment horizontal="right" vertical="center"/>
    </xf>
    <xf numFmtId="165" fontId="0" fillId="3" borderId="5" xfId="1" applyNumberFormat="1" applyFont="1" applyFill="1" applyBorder="1" applyAlignment="1">
      <alignment horizontal="right" vertical="center"/>
    </xf>
    <xf numFmtId="165" fontId="0" fillId="10" borderId="6" xfId="1" applyNumberFormat="1" applyFont="1" applyFill="1" applyBorder="1" applyAlignment="1">
      <alignment horizontal="right" vertical="center"/>
    </xf>
    <xf numFmtId="0" fontId="6" fillId="7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11" borderId="0" xfId="0" applyFont="1" applyFill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165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165" fontId="0" fillId="0" borderId="0" xfId="2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13" borderId="0" xfId="0" applyNumberFormat="1" applyFill="1" applyAlignment="1">
      <alignment vertical="center"/>
    </xf>
    <xf numFmtId="10" fontId="6" fillId="0" borderId="0" xfId="2" applyNumberFormat="1" applyFont="1" applyAlignment="1">
      <alignment vertical="center"/>
    </xf>
    <xf numFmtId="0" fontId="0" fillId="3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37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0" fillId="14" borderId="0" xfId="0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0" borderId="0" xfId="2" applyFont="1" applyBorder="1" applyAlignment="1">
      <alignment vertical="center"/>
    </xf>
    <xf numFmtId="37" fontId="0" fillId="0" borderId="0" xfId="0" applyNumberFormat="1" applyAlignment="1">
      <alignment horizontal="right" vertical="center"/>
    </xf>
    <xf numFmtId="0" fontId="12" fillId="0" borderId="0" xfId="0" applyFont="1" applyAlignment="1">
      <alignment vertical="center"/>
    </xf>
    <xf numFmtId="37" fontId="13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165" fontId="6" fillId="0" borderId="0" xfId="0" applyNumberFormat="1" applyFont="1"/>
    <xf numFmtId="0" fontId="14" fillId="0" borderId="0" xfId="0" applyFon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STARBUCKS -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'Forecasting (STARBUCKS) 2A'!$W$5</c:f>
              <c:strCache>
                <c:ptCount val="1"/>
                <c:pt idx="0">
                  <c:v>Pre-Pandemic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2A'!$U$22:$V$41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2026</c:v>
                  </c:pt>
                  <c:pt idx="18">
                    <c:v>2026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'Forecasting (STARBUCKS) 2A'!$W$22:$W$41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D-4F9B-9146-63629A127B55}"/>
            </c:ext>
          </c:extLst>
        </c:ser>
        <c:ser>
          <c:idx val="1"/>
          <c:order val="1"/>
          <c:tx>
            <c:strRef>
              <c:f>'Forecasting (STARBUCKS) 2A'!$X$5</c:f>
              <c:strCache>
                <c:ptCount val="1"/>
                <c:pt idx="0">
                  <c:v>Pandemic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2A'!$U$22:$V$41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2026</c:v>
                  </c:pt>
                  <c:pt idx="18">
                    <c:v>2026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'Forecasting (STARBUCKS) 2A'!$X$22:$X$41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9D-4F9B-9146-63629A127B55}"/>
            </c:ext>
          </c:extLst>
        </c:ser>
        <c:ser>
          <c:idx val="2"/>
          <c:order val="2"/>
          <c:tx>
            <c:strRef>
              <c:f>'Forecasting (STARBUCKS) 2A'!$Y$5</c:f>
              <c:strCache>
                <c:ptCount val="1"/>
                <c:pt idx="0">
                  <c:v>Post-Pandemic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2A'!$U$22:$V$41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2026</c:v>
                  </c:pt>
                  <c:pt idx="18">
                    <c:v>2026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'Forecasting (STARBUCKS) 2A'!$Y$22:$Y$41</c:f>
              <c:numCache>
                <c:formatCode>_(* #,##0_);_(* \(#,##0\);_(* "-"??_);_(@_)</c:formatCode>
                <c:ptCount val="20"/>
                <c:pt idx="0">
                  <c:v>7636</c:v>
                </c:pt>
                <c:pt idx="1">
                  <c:v>8150</c:v>
                </c:pt>
                <c:pt idx="2">
                  <c:v>8414</c:v>
                </c:pt>
                <c:pt idx="3">
                  <c:v>8714</c:v>
                </c:pt>
                <c:pt idx="4">
                  <c:v>8719.7999999999993</c:v>
                </c:pt>
                <c:pt idx="5">
                  <c:v>9168.2999999999993</c:v>
                </c:pt>
                <c:pt idx="6">
                  <c:v>9373.6</c:v>
                </c:pt>
                <c:pt idx="7">
                  <c:v>9425</c:v>
                </c:pt>
                <c:pt idx="8">
                  <c:v>8563</c:v>
                </c:pt>
                <c:pt idx="9">
                  <c:v>9114</c:v>
                </c:pt>
                <c:pt idx="10">
                  <c:v>9074</c:v>
                </c:pt>
                <c:pt idx="11">
                  <c:v>9397.7999999999993</c:v>
                </c:pt>
                <c:pt idx="12">
                  <c:v>8761.6</c:v>
                </c:pt>
                <c:pt idx="13">
                  <c:v>9456</c:v>
                </c:pt>
                <c:pt idx="14">
                  <c:v>9569</c:v>
                </c:pt>
                <c:pt idx="15">
                  <c:v>9915.1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9D-4F9B-9146-63629A127B55}"/>
            </c:ext>
          </c:extLst>
        </c:ser>
        <c:ser>
          <c:idx val="3"/>
          <c:order val="3"/>
          <c:tx>
            <c:strRef>
              <c:f>'Forecasting (STARBUCKS) 2A'!$Z$5</c:f>
              <c:strCache>
                <c:ptCount val="1"/>
                <c:pt idx="0">
                  <c:v>Smoothen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2A'!$U$22:$V$41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2026</c:v>
                  </c:pt>
                  <c:pt idx="18">
                    <c:v>2026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'Forecasting (STARBUCKS) 2A'!$Z$22:$Z$41</c:f>
              <c:numCache>
                <c:formatCode>_(* #,##0_);_(* \(#,##0\);_(* "-"??_);_(@_)</c:formatCode>
                <c:ptCount val="20"/>
                <c:pt idx="0">
                  <c:v>8079.42</c:v>
                </c:pt>
                <c:pt idx="1">
                  <c:v>8192.880000000001</c:v>
                </c:pt>
                <c:pt idx="2">
                  <c:v>8326.76</c:v>
                </c:pt>
                <c:pt idx="3">
                  <c:v>8633.2200000000012</c:v>
                </c:pt>
                <c:pt idx="4">
                  <c:v>8877.9399999999987</c:v>
                </c:pt>
                <c:pt idx="5">
                  <c:v>9080.14</c:v>
                </c:pt>
                <c:pt idx="6">
                  <c:v>9049.9399999999987</c:v>
                </c:pt>
                <c:pt idx="7">
                  <c:v>9128.7800000000007</c:v>
                </c:pt>
                <c:pt idx="8">
                  <c:v>9109.92</c:v>
                </c:pt>
                <c:pt idx="9">
                  <c:v>9114.76</c:v>
                </c:pt>
                <c:pt idx="10">
                  <c:v>8982.08</c:v>
                </c:pt>
                <c:pt idx="11">
                  <c:v>9160.68</c:v>
                </c:pt>
                <c:pt idx="12">
                  <c:v>9251.68</c:v>
                </c:pt>
                <c:pt idx="13">
                  <c:v>9419.9</c:v>
                </c:pt>
                <c:pt idx="14">
                  <c:v>9324.1440000000002</c:v>
                </c:pt>
                <c:pt idx="15">
                  <c:v>9361.7007272727278</c:v>
                </c:pt>
                <c:pt idx="16">
                  <c:v>9495.7485373258605</c:v>
                </c:pt>
                <c:pt idx="17">
                  <c:v>9533.5263617147666</c:v>
                </c:pt>
                <c:pt idx="18">
                  <c:v>9571.3041861036727</c:v>
                </c:pt>
                <c:pt idx="19">
                  <c:v>9609.0820104925788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9D-4F9B-9146-63629A127B55}"/>
            </c:ext>
          </c:extLst>
        </c:ser>
        <c:ser>
          <c:idx val="4"/>
          <c:order val="4"/>
          <c:tx>
            <c:strRef>
              <c:f>'Forecasting (STARBUCKS) 2A'!$AA$5</c:f>
              <c:strCache>
                <c:ptCount val="1"/>
                <c:pt idx="0">
                  <c:v>LB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2A'!$U$22:$V$41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2026</c:v>
                  </c:pt>
                  <c:pt idx="18">
                    <c:v>2026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'Forecasting (STARBUCKS) 2A'!$AA$22:$AA$41</c:f>
              <c:numCache>
                <c:formatCode>_(* #,##0_);_(* \(#,##0\);_(* "-"??_);_(@_)</c:formatCode>
                <c:ptCount val="20"/>
                <c:pt idx="15">
                  <c:v>9361.7007272727278</c:v>
                </c:pt>
                <c:pt idx="16">
                  <c:v>9204.1883851408547</c:v>
                </c:pt>
                <c:pt idx="17">
                  <c:v>9205.4384903010341</c:v>
                </c:pt>
                <c:pt idx="18">
                  <c:v>9210.2832198786618</c:v>
                </c:pt>
                <c:pt idx="19">
                  <c:v>9217.813736496948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9D-4F9B-9146-63629A127B55}"/>
            </c:ext>
          </c:extLst>
        </c:ser>
        <c:ser>
          <c:idx val="5"/>
          <c:order val="5"/>
          <c:tx>
            <c:strRef>
              <c:f>'Forecasting (STARBUCKS) 2A'!$AB$5</c:f>
              <c:strCache>
                <c:ptCount val="1"/>
                <c:pt idx="0">
                  <c:v>UB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2A'!$U$22:$V$41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2026</c:v>
                  </c:pt>
                  <c:pt idx="18">
                    <c:v>2026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'Forecasting (STARBUCKS) 2A'!$AB$22:$AB$41</c:f>
              <c:numCache>
                <c:formatCode>General</c:formatCode>
                <c:ptCount val="20"/>
                <c:pt idx="15" formatCode="_(* #,##0_);_(* \(#,##0\);_(* &quot;-&quot;??_);_(@_)">
                  <c:v>9361.7007272727278</c:v>
                </c:pt>
                <c:pt idx="16" formatCode="_(* #,##0_);_(* \(#,##0\);_(* &quot;-&quot;??_);_(@_)">
                  <c:v>9787.3086895108663</c:v>
                </c:pt>
                <c:pt idx="17" formatCode="_(* #,##0_);_(* \(#,##0\);_(* &quot;-&quot;??_);_(@_)">
                  <c:v>9861.6142331284991</c:v>
                </c:pt>
                <c:pt idx="18" formatCode="_(* #,##0_);_(* \(#,##0\);_(* &quot;-&quot;??_);_(@_)">
                  <c:v>9932.3251523286835</c:v>
                </c:pt>
                <c:pt idx="19" formatCode="_(* #,##0_);_(* \(#,##0\);_(* &quot;-&quot;??_);_(@_)">
                  <c:v>10000.35028448821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9D-4F9B-9146-63629A12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806911"/>
        <c:axId val="1122286351"/>
      </c:lineChart>
      <c:catAx>
        <c:axId val="13838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86351"/>
        <c:crosses val="autoZero"/>
        <c:auto val="1"/>
        <c:lblAlgn val="ctr"/>
        <c:lblOffset val="100"/>
        <c:noMultiLvlLbl val="0"/>
      </c:catAx>
      <c:valAx>
        <c:axId val="112228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80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945444</xdr:colOff>
      <xdr:row>116</xdr:row>
      <xdr:rowOff>84665</xdr:rowOff>
    </xdr:from>
    <xdr:to>
      <xdr:col>29</xdr:col>
      <xdr:colOff>282222</xdr:colOff>
      <xdr:row>148</xdr:row>
      <xdr:rowOff>183444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D51CEA6-DE56-4FA6-90DD-818A4AD353E4}"/>
            </a:ext>
          </a:extLst>
        </xdr:cNvPr>
        <xdr:cNvSpPr/>
      </xdr:nvSpPr>
      <xdr:spPr>
        <a:xfrm>
          <a:off x="22029984" y="23318045"/>
          <a:ext cx="8747478" cy="6438619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63500</xdr:colOff>
      <xdr:row>4</xdr:row>
      <xdr:rowOff>25929</xdr:rowOff>
    </xdr:from>
    <xdr:to>
      <xdr:col>37</xdr:col>
      <xdr:colOff>825500</xdr:colOff>
      <xdr:row>40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B2F97C-5E25-4385-B49D-A20A6B7B5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945444</xdr:colOff>
      <xdr:row>214</xdr:row>
      <xdr:rowOff>84665</xdr:rowOff>
    </xdr:from>
    <xdr:to>
      <xdr:col>29</xdr:col>
      <xdr:colOff>282222</xdr:colOff>
      <xdr:row>246</xdr:row>
      <xdr:rowOff>183444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30D8A70-ACBB-44F0-8CD7-71FF417C79BC}"/>
            </a:ext>
          </a:extLst>
        </xdr:cNvPr>
        <xdr:cNvSpPr/>
      </xdr:nvSpPr>
      <xdr:spPr>
        <a:xfrm>
          <a:off x="22029984" y="42779525"/>
          <a:ext cx="8747478" cy="6438619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517dc49250f45e7e/Desktop/SCTP%20-APC%20Data%20Analytics/PACE-SCTP-DA-02-Analysing%20and%20Interpreting%20Data%20(M3)/Assignment/Assignment%205/4c.%20Worked%20Out%20Solution%20-%20Forecasting%20Solution%20(4%20Companies)%2023Q1%20(%20%20SCENARIO)%20MAR%2026%20v3.xlsx" TargetMode="External"/><Relationship Id="rId2" Type="http://schemas.microsoft.com/office/2019/04/relationships/externalLinkLongPath" Target="/517dc49250f45e7e/Desktop/SCTP%20-APC%20Data%20Analytics/PACE-SCTP-DA-02-Analysing%20and%20Interpreting%20Data%20(M3)/Assignment/Assignment%205/4c.%20Worked%20Out%20Solution%20-%20Forecasting%20Solution%20(4%20Companies)%2023Q1%20(%20%20SCENARIO)%20MAR%2026%20v3.xlsx?EA02698E" TargetMode="External"/><Relationship Id="rId1" Type="http://schemas.openxmlformats.org/officeDocument/2006/relationships/externalLinkPath" Target="file:///\\EA02698E\4c.%20Worked%20Out%20Solution%20-%20Forecasting%20Solution%20(4%20Companies)%2023Q1%20(%20%20SCENARIO)%20MAR%2026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TABASE"/>
      <sheetName val="Forecasting (AMAZON) 2A"/>
      <sheetName val="Forecasting (NIKE) (2A)"/>
      <sheetName val="Forecasting (APPLE) 2A"/>
      <sheetName val="Forecasting (STARBUCKS) 2A"/>
    </sheetNames>
    <sheetDataSet>
      <sheetData sheetId="0"/>
      <sheetData sheetId="1"/>
      <sheetData sheetId="2"/>
      <sheetData sheetId="3"/>
      <sheetData sheetId="4">
        <row r="5">
          <cell r="W5" t="str">
            <v>Pre-Pandemic</v>
          </cell>
          <cell r="X5" t="str">
            <v>Pandemic</v>
          </cell>
          <cell r="Y5" t="str">
            <v>Post-Pandemic</v>
          </cell>
          <cell r="Z5" t="str">
            <v>Smoothen Data</v>
          </cell>
          <cell r="AA5" t="str">
            <v>LB</v>
          </cell>
          <cell r="AB5" t="str">
            <v>UB</v>
          </cell>
        </row>
        <row r="22">
          <cell r="U22">
            <v>2022</v>
          </cell>
          <cell r="V22" t="str">
            <v>Q1</v>
          </cell>
          <cell r="Y22">
            <v>7636</v>
          </cell>
          <cell r="Z22">
            <v>8079.42</v>
          </cell>
        </row>
        <row r="23">
          <cell r="U23">
            <v>2022</v>
          </cell>
          <cell r="V23" t="str">
            <v>Q2</v>
          </cell>
          <cell r="Y23">
            <v>8150</v>
          </cell>
          <cell r="Z23">
            <v>8192.880000000001</v>
          </cell>
        </row>
        <row r="24">
          <cell r="U24">
            <v>2022</v>
          </cell>
          <cell r="V24" t="str">
            <v>Q3</v>
          </cell>
          <cell r="Y24">
            <v>8414</v>
          </cell>
          <cell r="Z24">
            <v>8326.76</v>
          </cell>
        </row>
        <row r="25">
          <cell r="U25">
            <v>2022</v>
          </cell>
          <cell r="V25" t="str">
            <v>Q4</v>
          </cell>
          <cell r="Y25">
            <v>8714</v>
          </cell>
          <cell r="Z25">
            <v>8633.2200000000012</v>
          </cell>
        </row>
        <row r="26">
          <cell r="U26">
            <v>2023</v>
          </cell>
          <cell r="V26" t="str">
            <v>Q1</v>
          </cell>
          <cell r="Y26">
            <v>8719.7999999999993</v>
          </cell>
          <cell r="Z26">
            <v>8877.9399999999987</v>
          </cell>
        </row>
        <row r="27">
          <cell r="U27">
            <v>2023</v>
          </cell>
          <cell r="V27" t="str">
            <v>Q2</v>
          </cell>
          <cell r="Y27">
            <v>9168.2999999999993</v>
          </cell>
          <cell r="Z27">
            <v>9080.14</v>
          </cell>
        </row>
        <row r="28">
          <cell r="U28">
            <v>2023</v>
          </cell>
          <cell r="V28" t="str">
            <v>Q3</v>
          </cell>
          <cell r="Y28">
            <v>9373.6</v>
          </cell>
          <cell r="Z28">
            <v>9049.9399999999987</v>
          </cell>
        </row>
        <row r="29">
          <cell r="U29">
            <v>2023</v>
          </cell>
          <cell r="V29" t="str">
            <v>Q4</v>
          </cell>
          <cell r="Y29">
            <v>9425</v>
          </cell>
          <cell r="Z29">
            <v>9128.7800000000007</v>
          </cell>
        </row>
        <row r="30">
          <cell r="U30">
            <v>2024</v>
          </cell>
          <cell r="V30" t="str">
            <v>Q1</v>
          </cell>
          <cell r="Y30">
            <v>8563</v>
          </cell>
          <cell r="Z30">
            <v>9109.92</v>
          </cell>
        </row>
        <row r="31">
          <cell r="U31">
            <v>2024</v>
          </cell>
          <cell r="V31" t="str">
            <v>Q2</v>
          </cell>
          <cell r="Y31">
            <v>9114</v>
          </cell>
          <cell r="Z31">
            <v>9114.76</v>
          </cell>
        </row>
        <row r="32">
          <cell r="U32">
            <v>2024</v>
          </cell>
          <cell r="V32" t="str">
            <v>Q3</v>
          </cell>
          <cell r="Y32">
            <v>9074</v>
          </cell>
          <cell r="Z32">
            <v>8982.08</v>
          </cell>
        </row>
        <row r="33">
          <cell r="U33">
            <v>2024</v>
          </cell>
          <cell r="V33" t="str">
            <v>Q4</v>
          </cell>
          <cell r="Y33">
            <v>9397.7999999999993</v>
          </cell>
          <cell r="Z33">
            <v>9160.68</v>
          </cell>
        </row>
        <row r="34">
          <cell r="U34">
            <v>2025</v>
          </cell>
          <cell r="V34" t="str">
            <v>Q1</v>
          </cell>
          <cell r="Y34">
            <v>8761.6</v>
          </cell>
          <cell r="Z34">
            <v>9251.68</v>
          </cell>
        </row>
        <row r="35">
          <cell r="U35">
            <v>2025</v>
          </cell>
          <cell r="V35" t="str">
            <v>Q2</v>
          </cell>
          <cell r="Y35">
            <v>9456</v>
          </cell>
          <cell r="Z35">
            <v>9419.9</v>
          </cell>
        </row>
        <row r="36">
          <cell r="U36">
            <v>2025</v>
          </cell>
          <cell r="V36" t="str">
            <v>Q3</v>
          </cell>
          <cell r="Y36">
            <v>9569</v>
          </cell>
          <cell r="Z36">
            <v>9324.1440000000002</v>
          </cell>
        </row>
        <row r="37">
          <cell r="U37">
            <v>2025</v>
          </cell>
          <cell r="V37" t="str">
            <v>Q4</v>
          </cell>
          <cell r="Y37">
            <v>9915.1</v>
          </cell>
          <cell r="Z37">
            <v>9361.7007272727278</v>
          </cell>
          <cell r="AA37">
            <v>9361.7007272727278</v>
          </cell>
          <cell r="AB37">
            <v>9361.7007272727278</v>
          </cell>
        </row>
        <row r="38">
          <cell r="U38">
            <v>2026</v>
          </cell>
          <cell r="V38" t="str">
            <v>Q1</v>
          </cell>
          <cell r="Z38">
            <v>9495.7485373258605</v>
          </cell>
          <cell r="AA38">
            <v>9204.1883851408547</v>
          </cell>
          <cell r="AB38">
            <v>9787.3086895108663</v>
          </cell>
        </row>
        <row r="39">
          <cell r="U39">
            <v>2026</v>
          </cell>
          <cell r="V39" t="str">
            <v>Q2</v>
          </cell>
          <cell r="Z39">
            <v>9533.5263617147666</v>
          </cell>
          <cell r="AA39">
            <v>9205.4384903010341</v>
          </cell>
          <cell r="AB39">
            <v>9861.6142331284991</v>
          </cell>
        </row>
        <row r="40">
          <cell r="U40">
            <v>2026</v>
          </cell>
          <cell r="V40" t="str">
            <v>Q3</v>
          </cell>
          <cell r="Z40">
            <v>9571.3041861036727</v>
          </cell>
          <cell r="AA40">
            <v>9210.2832198786618</v>
          </cell>
          <cell r="AB40">
            <v>9932.3251523286835</v>
          </cell>
        </row>
        <row r="41">
          <cell r="U41">
            <v>2026</v>
          </cell>
          <cell r="V41" t="str">
            <v>Q4</v>
          </cell>
          <cell r="Z41">
            <v>9609.0820104925788</v>
          </cell>
          <cell r="AA41">
            <v>9217.813736496948</v>
          </cell>
          <cell r="AB41">
            <v>10000.35028448821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FA236-874C-43B3-BF67-F0C804EBDE2A}" name="Table14589153957510" displayName="Table14589153957510" ref="B5:M44" totalsRowShown="0" headerRowDxfId="13" dataDxfId="12" dataCellStyle="Comma">
  <autoFilter ref="B5:M44" xr:uid="{1ABD46D2-9732-0A4B-A2B4-23A3942AC499}"/>
  <tableColumns count="12">
    <tableColumn id="1" xr3:uid="{1362B5F3-4D7E-413C-BC39-B05B0A7890FE}" name="X" dataDxfId="11"/>
    <tableColumn id="7" xr3:uid="{FD126E13-9CD8-4066-AD6B-5910877EF827}" name="YEAR" dataDxfId="10"/>
    <tableColumn id="2" xr3:uid="{19BB08F0-D3A3-4DC6-8EFB-F0F7886495A1}" name="QTR" dataDxfId="9"/>
    <tableColumn id="3" xr3:uid="{1FC6CFA2-17E6-44DE-992C-F8DD912A8633}" name="Starbucks - Raw Data" dataDxfId="8" dataCellStyle="Comma"/>
    <tableColumn id="4" xr3:uid="{0BD638DC-EA8A-458A-A703-B42936FC90F7}" name="3-MA Simple" dataDxfId="7" dataCellStyle="Comma"/>
    <tableColumn id="5" xr3:uid="{CBEE5461-A56A-4DC9-9CC2-A867035E6FB2}" name="5-MA Symm" dataDxfId="6" dataCellStyle="Comma"/>
    <tableColumn id="6" xr3:uid="{A2813443-D764-4A44-952A-EE638B972F8B}" name="ES1" dataDxfId="5" dataCellStyle="Comma"/>
    <tableColumn id="9" xr3:uid="{DB0ADBF3-05B9-4D86-96E0-251D28FB2180}" name="ES1a" dataDxfId="4" dataCellStyle="Comma"/>
    <tableColumn id="10" xr3:uid="{44283EC3-3CD9-40EC-B92D-B931E768FDD9}" name="ETS" dataDxfId="3" dataCellStyle="Comma"/>
    <tableColumn id="11" xr3:uid="{D4D7CCDC-AF34-4B3A-99C0-F7918ADF69AB}" name="ETS (LB)" dataDxfId="2" dataCellStyle="Comma">
      <calculatedColumnFormula>J6-_xlfn.FORECAST.ETS.CONFINT(B6,$J$26:$J$37,$B$26:$B$37,0.95,1,1,1)</calculatedColumnFormula>
    </tableColumn>
    <tableColumn id="12" xr3:uid="{BC20080A-3A9B-4BFD-A773-1478E482FF11}" name="ETS (UB)" dataDxfId="1" dataCellStyle="Comma">
      <calculatedColumnFormula>J6+_xlfn.FORECAST.ETS.CONFINT(B6,$J$26:$J$37,$B$26:$B$37,0.95,1,1,1)</calculatedColumnFormula>
    </tableColumn>
    <tableColumn id="8" xr3:uid="{A50E5141-507E-4CDB-B5B9-F2757D323D1C}" name="TTM" dataDxfId="0" dataCellStyle="Comma">
      <calculatedColumnFormula>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E032-B201-421A-B82D-0EC2E42C6E82}">
  <sheetPr>
    <tabColor theme="9" tint="0.59999389629810485"/>
  </sheetPr>
  <dimension ref="A1:BQ250"/>
  <sheetViews>
    <sheetView tabSelected="1" topLeftCell="B1" zoomScale="90" zoomScaleNormal="90" workbookViewId="0">
      <selection activeCell="P33" sqref="P33"/>
    </sheetView>
  </sheetViews>
  <sheetFormatPr defaultColWidth="11.19921875" defaultRowHeight="15.6"/>
  <cols>
    <col min="1" max="1" width="15" style="6" customWidth="1"/>
    <col min="2" max="2" width="14.796875" style="6" customWidth="1"/>
    <col min="3" max="3" width="10.296875" style="6" customWidth="1"/>
    <col min="4" max="4" width="14.796875" style="6" bestFit="1" customWidth="1"/>
    <col min="5" max="5" width="15.796875" style="6" customWidth="1"/>
    <col min="6" max="6" width="15.69921875" style="6" customWidth="1"/>
    <col min="7" max="7" width="15.5" style="6" customWidth="1"/>
    <col min="8" max="9" width="13.5" style="6" customWidth="1"/>
    <col min="10" max="12" width="13" style="6" customWidth="1"/>
    <col min="13" max="13" width="14.296875" style="6" customWidth="1"/>
    <col min="14" max="14" width="12.796875" style="7" customWidth="1"/>
    <col min="15" max="15" width="12.5" style="6" customWidth="1"/>
    <col min="16" max="16" width="12" style="6" bestFit="1" customWidth="1"/>
    <col min="17" max="17" width="11.19921875" style="6"/>
    <col min="18" max="18" width="11.796875" style="6" customWidth="1"/>
    <col min="19" max="20" width="11.19921875" style="6"/>
    <col min="21" max="21" width="13" style="6" customWidth="1"/>
    <col min="22" max="22" width="24.796875" style="6" bestFit="1" customWidth="1"/>
    <col min="23" max="23" width="15.5" style="6" customWidth="1"/>
    <col min="24" max="24" width="14.5" style="6" customWidth="1"/>
    <col min="25" max="25" width="15.19921875" style="6" customWidth="1"/>
    <col min="26" max="26" width="13" style="6" customWidth="1"/>
    <col min="27" max="27" width="12.69921875" style="6" bestFit="1" customWidth="1"/>
    <col min="28" max="28" width="14.5" style="6" customWidth="1"/>
    <col min="29" max="29" width="13.296875" style="6" bestFit="1" customWidth="1"/>
    <col min="30" max="30" width="17.19921875" style="6" bestFit="1" customWidth="1"/>
    <col min="31" max="31" width="15.19921875" style="6" customWidth="1"/>
    <col min="32" max="32" width="14.19921875" style="6" customWidth="1"/>
    <col min="33" max="33" width="15.296875" style="6" bestFit="1" customWidth="1"/>
    <col min="34" max="34" width="13.69921875" style="6" bestFit="1" customWidth="1"/>
    <col min="35" max="35" width="13.5" style="6" customWidth="1"/>
    <col min="36" max="36" width="14" style="6" bestFit="1" customWidth="1"/>
    <col min="37" max="37" width="13.296875" style="6" bestFit="1" customWidth="1"/>
    <col min="38" max="38" width="17.19921875" style="6" bestFit="1" customWidth="1"/>
    <col min="39" max="40" width="11.19921875" style="6"/>
    <col min="41" max="41" width="15.296875" style="6" bestFit="1" customWidth="1"/>
    <col min="42" max="42" width="13.69921875" style="6" bestFit="1" customWidth="1"/>
    <col min="43" max="43" width="12.69921875" style="6" bestFit="1" customWidth="1"/>
    <col min="44" max="44" width="14" style="6" bestFit="1" customWidth="1"/>
    <col min="45" max="45" width="13.296875" style="6" bestFit="1" customWidth="1"/>
    <col min="46" max="46" width="12.69921875" bestFit="1" customWidth="1"/>
  </cols>
  <sheetData>
    <row r="1" spans="1:45" s="3" customFormat="1" ht="2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s="3" customFormat="1" ht="21">
      <c r="A2" s="1"/>
      <c r="B2" s="4" t="s">
        <v>1</v>
      </c>
      <c r="C2" s="5"/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21">
      <c r="C3" s="7"/>
      <c r="F3" s="8"/>
      <c r="W3" s="9" t="s">
        <v>3</v>
      </c>
      <c r="Z3" s="9" t="s">
        <v>3</v>
      </c>
    </row>
    <row r="4" spans="1:45">
      <c r="B4" s="6" t="s">
        <v>4</v>
      </c>
      <c r="C4" s="10"/>
      <c r="D4" s="7">
        <f>ROW()</f>
        <v>4</v>
      </c>
      <c r="E4" s="11" t="str">
        <f>W4</f>
        <v>QUARTER</v>
      </c>
      <c r="F4" s="7">
        <v>1</v>
      </c>
      <c r="G4" s="7" t="s">
        <v>5</v>
      </c>
      <c r="H4" s="7" t="s">
        <v>6</v>
      </c>
      <c r="I4" s="7" t="s">
        <v>7</v>
      </c>
      <c r="J4" s="7">
        <v>4</v>
      </c>
      <c r="K4" s="7" t="s">
        <v>8</v>
      </c>
      <c r="L4" s="7" t="s">
        <v>9</v>
      </c>
      <c r="M4" s="7">
        <v>5</v>
      </c>
      <c r="O4" s="7"/>
      <c r="P4" s="12" t="str">
        <f>E4</f>
        <v>QUARTER</v>
      </c>
      <c r="W4" s="13" t="s">
        <v>10</v>
      </c>
      <c r="Z4" s="14" t="s">
        <v>11</v>
      </c>
      <c r="AA4" s="6" t="s">
        <v>12</v>
      </c>
    </row>
    <row r="5" spans="1:45">
      <c r="A5" s="15" t="s">
        <v>13</v>
      </c>
      <c r="B5" s="7" t="s">
        <v>14</v>
      </c>
      <c r="C5" s="7" t="s">
        <v>15</v>
      </c>
      <c r="D5" s="16" t="s">
        <v>16</v>
      </c>
      <c r="E5" s="17" t="s">
        <v>17</v>
      </c>
      <c r="F5" s="17" t="s">
        <v>18</v>
      </c>
      <c r="G5" s="17" t="s">
        <v>19</v>
      </c>
      <c r="H5" s="17" t="s">
        <v>20</v>
      </c>
      <c r="I5" s="18" t="s">
        <v>21</v>
      </c>
      <c r="J5" s="19" t="s">
        <v>22</v>
      </c>
      <c r="K5" s="19" t="s">
        <v>23</v>
      </c>
      <c r="L5" s="19" t="s">
        <v>24</v>
      </c>
      <c r="M5" s="20" t="s">
        <v>25</v>
      </c>
      <c r="O5" s="7"/>
      <c r="P5" s="7" t="s">
        <v>26</v>
      </c>
      <c r="Q5" s="6" t="s">
        <v>27</v>
      </c>
      <c r="T5" s="21" t="s">
        <v>28</v>
      </c>
      <c r="W5" s="7" t="s">
        <v>29</v>
      </c>
      <c r="X5" s="7" t="s">
        <v>30</v>
      </c>
      <c r="Y5" s="7" t="s">
        <v>31</v>
      </c>
      <c r="Z5" s="7" t="s">
        <v>32</v>
      </c>
      <c r="AA5" s="7" t="s">
        <v>33</v>
      </c>
      <c r="AB5" s="7" t="s">
        <v>34</v>
      </c>
      <c r="AD5" s="7"/>
      <c r="AE5" s="7"/>
      <c r="AF5" s="7"/>
      <c r="AG5" s="7"/>
    </row>
    <row r="6" spans="1:45">
      <c r="A6" s="7">
        <v>2</v>
      </c>
      <c r="B6" s="7"/>
      <c r="C6" s="7">
        <v>2018</v>
      </c>
      <c r="D6" s="7" t="s">
        <v>35</v>
      </c>
      <c r="E6" s="22">
        <f>HLOOKUP($E$4,$E$90:$N$122,ROW()-$D$4,FALSE)</f>
        <v>6031.8</v>
      </c>
      <c r="G6" s="23"/>
      <c r="H6" s="22"/>
      <c r="I6" s="22"/>
      <c r="J6" s="22">
        <f>E6</f>
        <v>6031.8</v>
      </c>
      <c r="K6" s="23"/>
      <c r="L6" s="23"/>
      <c r="M6" s="23"/>
      <c r="O6" s="24"/>
      <c r="P6" s="24">
        <f>F49</f>
        <v>38401.720163170161</v>
      </c>
      <c r="Q6" s="6" t="s">
        <v>36</v>
      </c>
      <c r="T6" s="6" t="s">
        <v>36</v>
      </c>
      <c r="U6" s="7">
        <v>2018</v>
      </c>
      <c r="V6" s="7" t="s">
        <v>35</v>
      </c>
      <c r="W6" s="22">
        <f>E6</f>
        <v>6031.8</v>
      </c>
      <c r="X6" s="22"/>
      <c r="Y6" s="22"/>
      <c r="AA6" s="22"/>
      <c r="AC6" s="10"/>
      <c r="AD6" s="24"/>
    </row>
    <row r="7" spans="1:45">
      <c r="A7" s="7">
        <v>3</v>
      </c>
      <c r="B7" s="7"/>
      <c r="C7" s="7">
        <v>2018</v>
      </c>
      <c r="D7" s="7" t="s">
        <v>37</v>
      </c>
      <c r="E7" s="22">
        <f t="shared" ref="E7:E37" si="0">HLOOKUP($E$4,$E$90:$N$122,ROW()-$D$4,FALSE)</f>
        <v>6310.3</v>
      </c>
      <c r="G7" s="23"/>
      <c r="H7" s="22">
        <f>E6</f>
        <v>6031.8</v>
      </c>
      <c r="I7" s="22">
        <f>E6</f>
        <v>6031.8</v>
      </c>
      <c r="J7" s="22">
        <f t="shared" ref="J7:J37" si="1">E7</f>
        <v>6310.3</v>
      </c>
      <c r="K7" s="23"/>
      <c r="L7" s="23"/>
      <c r="M7" s="23"/>
      <c r="O7" s="24"/>
      <c r="P7" s="24">
        <f>F80</f>
        <v>39064.073743823938</v>
      </c>
      <c r="Q7" s="6" t="s">
        <v>38</v>
      </c>
      <c r="T7" s="6" t="s">
        <v>11</v>
      </c>
      <c r="U7" s="7">
        <v>2018</v>
      </c>
      <c r="V7" s="7" t="s">
        <v>37</v>
      </c>
      <c r="W7" s="22">
        <f t="shared" ref="W7:W13" si="2">E7</f>
        <v>6310.3</v>
      </c>
      <c r="X7" s="22"/>
      <c r="Y7" s="22"/>
      <c r="AA7" s="22"/>
      <c r="AC7" s="10"/>
      <c r="AD7" s="24"/>
    </row>
    <row r="8" spans="1:45">
      <c r="A8" s="7">
        <v>4</v>
      </c>
      <c r="B8" s="7"/>
      <c r="C8" s="7">
        <v>2018</v>
      </c>
      <c r="D8" s="7" t="s">
        <v>39</v>
      </c>
      <c r="E8" s="22">
        <f t="shared" si="0"/>
        <v>6303.6</v>
      </c>
      <c r="F8" s="24">
        <f>AVERAGE(E6:E8)</f>
        <v>6215.2333333333336</v>
      </c>
      <c r="G8" s="23">
        <f>SUM(E6:E10)/5</f>
        <v>6316.8600000000006</v>
      </c>
      <c r="H8" s="22">
        <f t="shared" ref="H8:H37" si="3">0.7*E7+0.3*H7</f>
        <v>6226.75</v>
      </c>
      <c r="I8" s="22">
        <f t="shared" ref="I8:I37" si="4">0.3*E7+0.7*I7</f>
        <v>6115.35</v>
      </c>
      <c r="J8" s="22">
        <f t="shared" si="1"/>
        <v>6303.6</v>
      </c>
      <c r="K8" s="23"/>
      <c r="L8" s="23"/>
      <c r="M8" s="23"/>
      <c r="O8" s="24"/>
      <c r="P8" s="24">
        <f>G49</f>
        <v>38225.542545454548</v>
      </c>
      <c r="Q8" s="6" t="s">
        <v>11</v>
      </c>
      <c r="T8" s="6" t="s">
        <v>40</v>
      </c>
      <c r="U8" s="7">
        <v>2018</v>
      </c>
      <c r="V8" s="7" t="s">
        <v>39</v>
      </c>
      <c r="W8" s="22">
        <f t="shared" si="2"/>
        <v>6303.6</v>
      </c>
      <c r="X8" s="22"/>
      <c r="Y8" s="22"/>
      <c r="AA8" s="22"/>
      <c r="AC8" s="7"/>
      <c r="AD8" s="24"/>
    </row>
    <row r="9" spans="1:45">
      <c r="A9" s="7">
        <v>5</v>
      </c>
      <c r="B9" s="7"/>
      <c r="C9" s="7">
        <v>2018</v>
      </c>
      <c r="D9" s="7" t="s">
        <v>41</v>
      </c>
      <c r="E9" s="22">
        <f t="shared" si="0"/>
        <v>6632.7</v>
      </c>
      <c r="F9" s="24">
        <f t="shared" ref="F9:F33" si="5">AVERAGE(E7:E9)</f>
        <v>6415.5333333333338</v>
      </c>
      <c r="G9" s="23">
        <f t="shared" ref="G9:G35" si="6">SUM(E7:E11)/5</f>
        <v>6475.1</v>
      </c>
      <c r="H9" s="22">
        <f t="shared" si="3"/>
        <v>6280.5449999999992</v>
      </c>
      <c r="I9" s="22">
        <f t="shared" si="4"/>
        <v>6171.8249999999998</v>
      </c>
      <c r="J9" s="22">
        <f t="shared" si="1"/>
        <v>6632.7</v>
      </c>
      <c r="K9" s="23"/>
      <c r="L9" s="23"/>
      <c r="M9" s="23"/>
      <c r="O9" s="24"/>
      <c r="P9" s="24">
        <f>G80</f>
        <v>38515.679085144293</v>
      </c>
      <c r="Q9" s="6" t="s">
        <v>42</v>
      </c>
      <c r="T9" s="6" t="s">
        <v>43</v>
      </c>
      <c r="U9" s="7">
        <v>2018</v>
      </c>
      <c r="V9" s="7" t="s">
        <v>41</v>
      </c>
      <c r="W9" s="22">
        <f t="shared" si="2"/>
        <v>6632.7</v>
      </c>
      <c r="X9" s="22"/>
      <c r="Y9" s="22"/>
      <c r="AA9" s="22"/>
      <c r="AD9" s="24"/>
    </row>
    <row r="10" spans="1:45">
      <c r="A10" s="7">
        <v>6</v>
      </c>
      <c r="B10" s="7"/>
      <c r="C10" s="7">
        <v>2019</v>
      </c>
      <c r="D10" s="7" t="s">
        <v>35</v>
      </c>
      <c r="E10" s="22">
        <f t="shared" si="0"/>
        <v>6305.9</v>
      </c>
      <c r="F10" s="24">
        <f t="shared" si="5"/>
        <v>6414.0666666666657</v>
      </c>
      <c r="G10" s="23">
        <f t="shared" si="6"/>
        <v>6562.44</v>
      </c>
      <c r="H10" s="22">
        <f t="shared" si="3"/>
        <v>6527.0534999999991</v>
      </c>
      <c r="I10" s="22">
        <f t="shared" si="4"/>
        <v>6310.0874999999996</v>
      </c>
      <c r="J10" s="22">
        <f t="shared" si="1"/>
        <v>6305.9</v>
      </c>
      <c r="K10" s="23"/>
      <c r="L10" s="23"/>
      <c r="M10" s="23"/>
      <c r="O10" s="24"/>
      <c r="P10" s="24">
        <f>H49</f>
        <v>38231.503231384049</v>
      </c>
      <c r="Q10" s="6" t="s">
        <v>20</v>
      </c>
      <c r="T10" s="6" t="s">
        <v>44</v>
      </c>
      <c r="U10" s="7">
        <v>2019</v>
      </c>
      <c r="V10" s="7" t="s">
        <v>35</v>
      </c>
      <c r="W10" s="22">
        <f t="shared" si="2"/>
        <v>6305.9</v>
      </c>
      <c r="X10" s="22"/>
      <c r="Y10" s="22"/>
      <c r="AA10" s="22"/>
      <c r="AD10" s="24"/>
    </row>
    <row r="11" spans="1:45">
      <c r="A11" s="7">
        <v>7</v>
      </c>
      <c r="B11" s="7"/>
      <c r="C11" s="7">
        <v>2019</v>
      </c>
      <c r="D11" s="7" t="s">
        <v>37</v>
      </c>
      <c r="E11" s="22">
        <f t="shared" si="0"/>
        <v>6823</v>
      </c>
      <c r="F11" s="24">
        <f t="shared" si="5"/>
        <v>6587.2</v>
      </c>
      <c r="G11" s="23">
        <f t="shared" si="6"/>
        <v>6721.1399999999994</v>
      </c>
      <c r="H11" s="22">
        <f t="shared" si="3"/>
        <v>6372.2460499999988</v>
      </c>
      <c r="I11" s="22">
        <f t="shared" si="4"/>
        <v>6308.8312499999993</v>
      </c>
      <c r="J11" s="22">
        <f t="shared" si="1"/>
        <v>6823</v>
      </c>
      <c r="K11" s="23"/>
      <c r="L11" s="23"/>
      <c r="M11" s="23"/>
      <c r="O11" s="24"/>
      <c r="P11" s="24">
        <f>H80</f>
        <v>38525.07960709677</v>
      </c>
      <c r="Q11" s="6" t="s">
        <v>45</v>
      </c>
      <c r="U11" s="7">
        <v>2019</v>
      </c>
      <c r="V11" s="7" t="s">
        <v>37</v>
      </c>
      <c r="W11" s="22">
        <f t="shared" si="2"/>
        <v>6823</v>
      </c>
      <c r="X11" s="22"/>
      <c r="Y11" s="22"/>
      <c r="AA11" s="22"/>
      <c r="AC11" s="7"/>
      <c r="AD11" s="24"/>
    </row>
    <row r="12" spans="1:45">
      <c r="A12" s="7">
        <v>8</v>
      </c>
      <c r="B12" s="7"/>
      <c r="C12" s="7">
        <v>2019</v>
      </c>
      <c r="D12" s="7" t="s">
        <v>39</v>
      </c>
      <c r="E12" s="22">
        <f t="shared" si="0"/>
        <v>6747</v>
      </c>
      <c r="F12" s="24">
        <f t="shared" si="5"/>
        <v>6625.3</v>
      </c>
      <c r="G12" s="23">
        <f t="shared" si="6"/>
        <v>6593.74</v>
      </c>
      <c r="H12" s="22">
        <f t="shared" si="3"/>
        <v>6687.7738149999986</v>
      </c>
      <c r="I12" s="22">
        <f t="shared" si="4"/>
        <v>6463.0818749999989</v>
      </c>
      <c r="J12" s="22">
        <f t="shared" si="1"/>
        <v>6747</v>
      </c>
      <c r="K12" s="23"/>
      <c r="L12" s="23"/>
      <c r="M12" s="23"/>
      <c r="O12" s="24"/>
      <c r="P12" s="24">
        <f>I49</f>
        <v>38362.62665648642</v>
      </c>
      <c r="Q12" s="6" t="s">
        <v>21</v>
      </c>
      <c r="U12" s="7">
        <v>2019</v>
      </c>
      <c r="V12" s="7" t="s">
        <v>39</v>
      </c>
      <c r="W12" s="22">
        <f t="shared" si="2"/>
        <v>6747</v>
      </c>
      <c r="X12" s="22"/>
      <c r="Y12" s="22"/>
      <c r="AA12" s="22"/>
      <c r="AC12" s="7"/>
      <c r="AD12" s="24"/>
    </row>
    <row r="13" spans="1:45">
      <c r="A13" s="7">
        <v>9</v>
      </c>
      <c r="B13" s="7"/>
      <c r="C13" s="7">
        <v>2019</v>
      </c>
      <c r="D13" s="7" t="s">
        <v>41</v>
      </c>
      <c r="E13" s="22">
        <f t="shared" si="0"/>
        <v>7097.1</v>
      </c>
      <c r="F13" s="24">
        <f t="shared" si="5"/>
        <v>6889.0333333333328</v>
      </c>
      <c r="G13" s="23">
        <f t="shared" si="6"/>
        <v>6176.9800000000005</v>
      </c>
      <c r="H13" s="22">
        <f t="shared" si="3"/>
        <v>6729.2321444999989</v>
      </c>
      <c r="I13" s="22">
        <f t="shared" si="4"/>
        <v>6548.2573124999981</v>
      </c>
      <c r="J13" s="22">
        <f t="shared" si="1"/>
        <v>7097.1</v>
      </c>
      <c r="K13" s="23"/>
      <c r="L13" s="23"/>
      <c r="M13" s="23"/>
      <c r="O13" s="24"/>
      <c r="P13" s="24">
        <f>I80</f>
        <v>38296.355180967708</v>
      </c>
      <c r="Q13" s="6" t="s">
        <v>46</v>
      </c>
      <c r="U13" s="7">
        <v>2019</v>
      </c>
      <c r="V13" s="7" t="s">
        <v>41</v>
      </c>
      <c r="W13" s="22">
        <f t="shared" si="2"/>
        <v>7097.1</v>
      </c>
      <c r="X13" s="22">
        <f>W13</f>
        <v>7097.1</v>
      </c>
      <c r="Y13" s="22"/>
      <c r="AA13" s="22"/>
      <c r="AC13" s="7"/>
      <c r="AD13" s="24"/>
    </row>
    <row r="14" spans="1:45">
      <c r="A14" s="7">
        <v>10</v>
      </c>
      <c r="B14" s="7"/>
      <c r="C14" s="7">
        <v>2020</v>
      </c>
      <c r="D14" s="7" t="s">
        <v>35</v>
      </c>
      <c r="E14" s="22">
        <f t="shared" si="0"/>
        <v>5995.7</v>
      </c>
      <c r="F14" s="24">
        <f t="shared" si="5"/>
        <v>6613.2666666666664</v>
      </c>
      <c r="G14" s="23">
        <f t="shared" si="6"/>
        <v>6053</v>
      </c>
      <c r="H14" s="22">
        <f t="shared" si="3"/>
        <v>6986.7396433499998</v>
      </c>
      <c r="I14" s="22">
        <f t="shared" si="4"/>
        <v>6712.9101187499982</v>
      </c>
      <c r="J14" s="22">
        <f t="shared" si="1"/>
        <v>5995.7</v>
      </c>
      <c r="K14" s="23"/>
      <c r="L14" s="23"/>
      <c r="M14" s="23"/>
      <c r="O14" s="24"/>
      <c r="P14" s="24">
        <f>J49</f>
        <v>38789.072379110679</v>
      </c>
      <c r="Q14" s="6" t="s">
        <v>22</v>
      </c>
      <c r="U14" s="7">
        <v>2020</v>
      </c>
      <c r="V14" s="7" t="s">
        <v>35</v>
      </c>
      <c r="X14" s="22">
        <f>E14</f>
        <v>5995.7</v>
      </c>
      <c r="Y14" s="22"/>
      <c r="AA14" s="22"/>
      <c r="AC14" s="7"/>
      <c r="AD14" s="24"/>
    </row>
    <row r="15" spans="1:45">
      <c r="A15" s="7">
        <v>11</v>
      </c>
      <c r="B15" s="7"/>
      <c r="C15" s="7">
        <v>2020</v>
      </c>
      <c r="D15" s="7" t="s">
        <v>37</v>
      </c>
      <c r="E15" s="22">
        <f t="shared" si="0"/>
        <v>4222.1000000000004</v>
      </c>
      <c r="F15" s="24">
        <f t="shared" si="5"/>
        <v>5771.6333333333341</v>
      </c>
      <c r="G15" s="23">
        <f t="shared" si="6"/>
        <v>6053.4800000000005</v>
      </c>
      <c r="H15" s="22">
        <f t="shared" si="3"/>
        <v>6293.0118930049994</v>
      </c>
      <c r="I15" s="22">
        <f t="shared" si="4"/>
        <v>6497.7470831249984</v>
      </c>
      <c r="J15" s="22">
        <f t="shared" si="1"/>
        <v>4222.1000000000004</v>
      </c>
      <c r="K15" s="23"/>
      <c r="L15" s="23"/>
      <c r="M15" s="23"/>
      <c r="O15" s="24"/>
      <c r="P15" s="24">
        <f>K49</f>
        <v>36700.346738511158</v>
      </c>
      <c r="Q15" s="6" t="s">
        <v>23</v>
      </c>
      <c r="U15" s="7">
        <v>2020</v>
      </c>
      <c r="V15" s="7" t="s">
        <v>37</v>
      </c>
      <c r="X15" s="22">
        <f t="shared" ref="X15:X17" si="7">E15</f>
        <v>4222.1000000000004</v>
      </c>
      <c r="Y15" s="22"/>
      <c r="AA15" s="22"/>
      <c r="AC15" s="7"/>
      <c r="AD15" s="24"/>
    </row>
    <row r="16" spans="1:45">
      <c r="A16" s="7">
        <v>12</v>
      </c>
      <c r="B16" s="7"/>
      <c r="C16" s="7">
        <v>2020</v>
      </c>
      <c r="D16" s="7" t="s">
        <v>39</v>
      </c>
      <c r="E16" s="22">
        <f t="shared" si="0"/>
        <v>6203.1</v>
      </c>
      <c r="F16" s="24">
        <f t="shared" si="5"/>
        <v>5473.6333333333341</v>
      </c>
      <c r="G16" s="23">
        <f t="shared" si="6"/>
        <v>5967.6600000000008</v>
      </c>
      <c r="H16" s="22">
        <f t="shared" si="3"/>
        <v>4843.3735679014999</v>
      </c>
      <c r="I16" s="22">
        <f t="shared" si="4"/>
        <v>5815.0529581874989</v>
      </c>
      <c r="J16" s="22">
        <f t="shared" si="1"/>
        <v>6203.1</v>
      </c>
      <c r="K16" s="23"/>
      <c r="L16" s="23"/>
      <c r="M16" s="23"/>
      <c r="O16" s="24"/>
      <c r="P16" s="24">
        <f>L49</f>
        <v>40877.798019710201</v>
      </c>
      <c r="Q16" s="6" t="s">
        <v>24</v>
      </c>
      <c r="U16" s="7">
        <v>2020</v>
      </c>
      <c r="V16" s="7" t="s">
        <v>39</v>
      </c>
      <c r="X16" s="22">
        <f t="shared" si="7"/>
        <v>6203.1</v>
      </c>
      <c r="Y16" s="22"/>
      <c r="AA16" s="22"/>
      <c r="AC16" s="7"/>
      <c r="AD16" s="24"/>
    </row>
    <row r="17" spans="1:33">
      <c r="A17" s="7">
        <v>13</v>
      </c>
      <c r="B17" s="7"/>
      <c r="C17" s="7">
        <v>2020</v>
      </c>
      <c r="D17" s="7" t="s">
        <v>41</v>
      </c>
      <c r="E17" s="22">
        <f t="shared" si="0"/>
        <v>6749.4</v>
      </c>
      <c r="F17" s="24">
        <f t="shared" si="5"/>
        <v>5724.8666666666659</v>
      </c>
      <c r="G17" s="23">
        <f t="shared" si="6"/>
        <v>6267.82</v>
      </c>
      <c r="H17" s="22">
        <f t="shared" si="3"/>
        <v>5795.1820703704498</v>
      </c>
      <c r="I17" s="22">
        <f t="shared" si="4"/>
        <v>5931.4670707312489</v>
      </c>
      <c r="J17" s="22">
        <f t="shared" si="1"/>
        <v>6749.4</v>
      </c>
      <c r="K17" s="23"/>
      <c r="L17" s="23"/>
      <c r="M17" s="23"/>
      <c r="O17" s="24"/>
      <c r="P17" s="24">
        <f>M49</f>
        <v>37701.699999999997</v>
      </c>
      <c r="Q17" s="6" t="s">
        <v>25</v>
      </c>
      <c r="U17" s="7">
        <v>2020</v>
      </c>
      <c r="V17" s="7" t="s">
        <v>41</v>
      </c>
      <c r="X17" s="22">
        <f t="shared" si="7"/>
        <v>6749.4</v>
      </c>
      <c r="Y17" s="22">
        <f>X17</f>
        <v>6749.4</v>
      </c>
      <c r="Z17" s="25"/>
      <c r="AA17" s="22"/>
      <c r="AC17" s="7"/>
      <c r="AD17" s="24"/>
      <c r="AE17" s="24"/>
    </row>
    <row r="18" spans="1:33">
      <c r="A18" s="7">
        <v>14</v>
      </c>
      <c r="B18" s="7"/>
      <c r="C18" s="7">
        <v>2021</v>
      </c>
      <c r="D18" s="7" t="s">
        <v>35</v>
      </c>
      <c r="E18" s="22">
        <f t="shared" si="0"/>
        <v>6668</v>
      </c>
      <c r="F18" s="24">
        <f t="shared" si="5"/>
        <v>6540.166666666667</v>
      </c>
      <c r="G18" s="23">
        <f t="shared" si="6"/>
        <v>7052.74</v>
      </c>
      <c r="H18" s="22">
        <f t="shared" si="3"/>
        <v>6463.134621111134</v>
      </c>
      <c r="I18" s="22">
        <f t="shared" si="4"/>
        <v>6176.8469495118734</v>
      </c>
      <c r="J18" s="22">
        <f t="shared" si="1"/>
        <v>6668</v>
      </c>
      <c r="K18" s="23"/>
      <c r="L18" s="23"/>
      <c r="M18" s="23"/>
      <c r="O18" s="24"/>
      <c r="U18" s="7">
        <v>2021</v>
      </c>
      <c r="V18" s="7" t="s">
        <v>35</v>
      </c>
      <c r="X18" s="22"/>
      <c r="Y18" s="22">
        <f>E18</f>
        <v>6668</v>
      </c>
      <c r="Z18" s="25"/>
      <c r="AA18" s="22"/>
      <c r="AC18" s="7"/>
      <c r="AD18" s="24"/>
      <c r="AE18" s="24"/>
    </row>
    <row r="19" spans="1:33">
      <c r="A19" s="7">
        <v>15</v>
      </c>
      <c r="B19" s="7"/>
      <c r="C19" s="7">
        <v>2021</v>
      </c>
      <c r="D19" s="7" t="s">
        <v>37</v>
      </c>
      <c r="E19" s="22">
        <f t="shared" si="0"/>
        <v>7496.5</v>
      </c>
      <c r="F19" s="24">
        <f t="shared" si="5"/>
        <v>6971.3</v>
      </c>
      <c r="G19" s="23">
        <f t="shared" si="6"/>
        <v>7422.2</v>
      </c>
      <c r="H19" s="22">
        <f t="shared" si="3"/>
        <v>6606.5403863333395</v>
      </c>
      <c r="I19" s="22">
        <f t="shared" si="4"/>
        <v>6324.192864658311</v>
      </c>
      <c r="J19" s="22">
        <f t="shared" si="1"/>
        <v>7496.5</v>
      </c>
      <c r="K19" s="23"/>
      <c r="L19" s="23"/>
      <c r="M19" s="23"/>
      <c r="U19" s="7">
        <v>2021</v>
      </c>
      <c r="V19" s="7" t="s">
        <v>37</v>
      </c>
      <c r="X19" s="22"/>
      <c r="Y19" s="22">
        <f t="shared" ref="Y19:Y37" si="8">E19</f>
        <v>7496.5</v>
      </c>
      <c r="Z19" s="25"/>
      <c r="AA19" s="22"/>
      <c r="AC19" s="7"/>
      <c r="AD19" s="24"/>
      <c r="AE19" s="24"/>
    </row>
    <row r="20" spans="1:33">
      <c r="A20" s="7">
        <v>16</v>
      </c>
      <c r="B20" s="7"/>
      <c r="C20" s="7">
        <v>2021</v>
      </c>
      <c r="D20" s="7" t="s">
        <v>39</v>
      </c>
      <c r="E20" s="22">
        <f t="shared" si="0"/>
        <v>8146.7</v>
      </c>
      <c r="F20" s="24">
        <f t="shared" si="5"/>
        <v>7437.0666666666666</v>
      </c>
      <c r="G20" s="23">
        <f t="shared" si="6"/>
        <v>7599.5199999999995</v>
      </c>
      <c r="H20" s="22">
        <f t="shared" si="3"/>
        <v>7229.5121159000009</v>
      </c>
      <c r="I20" s="22">
        <f t="shared" si="4"/>
        <v>6675.8850052608168</v>
      </c>
      <c r="J20" s="22">
        <f t="shared" si="1"/>
        <v>8146.7</v>
      </c>
      <c r="K20" s="23"/>
      <c r="L20" s="23"/>
      <c r="M20" s="23"/>
      <c r="P20" s="6" t="s">
        <v>26</v>
      </c>
      <c r="U20" s="7">
        <v>2021</v>
      </c>
      <c r="V20" s="7" t="s">
        <v>39</v>
      </c>
      <c r="X20" s="22"/>
      <c r="Y20" s="22">
        <f t="shared" si="8"/>
        <v>8146.7</v>
      </c>
      <c r="Z20" s="25"/>
      <c r="AA20" s="22"/>
      <c r="AC20" s="7"/>
      <c r="AD20" s="24"/>
      <c r="AE20" s="24"/>
    </row>
    <row r="21" spans="1:33">
      <c r="A21" s="7">
        <v>17</v>
      </c>
      <c r="B21" s="7"/>
      <c r="C21" s="7">
        <v>2021</v>
      </c>
      <c r="D21" s="7" t="s">
        <v>41</v>
      </c>
      <c r="E21" s="22">
        <f t="shared" si="0"/>
        <v>8050.4</v>
      </c>
      <c r="F21" s="24">
        <f t="shared" si="5"/>
        <v>7897.8666666666659</v>
      </c>
      <c r="G21" s="23">
        <f t="shared" si="6"/>
        <v>7895.92</v>
      </c>
      <c r="H21" s="22">
        <f t="shared" si="3"/>
        <v>7871.5436347699997</v>
      </c>
      <c r="I21" s="22">
        <f t="shared" si="4"/>
        <v>7117.1295036825704</v>
      </c>
      <c r="J21" s="22">
        <f t="shared" si="1"/>
        <v>8050.4</v>
      </c>
      <c r="K21" s="23"/>
      <c r="L21" s="23"/>
      <c r="M21" s="23"/>
      <c r="O21" s="24"/>
      <c r="P21" s="24">
        <f>MIN(P6:P17)</f>
        <v>36700.346738511158</v>
      </c>
      <c r="Q21" s="6" t="str">
        <f>VLOOKUP(P21,P6:Q17,2,FALSE)</f>
        <v>ETS (LB)</v>
      </c>
      <c r="R21" s="6" t="s">
        <v>33</v>
      </c>
      <c r="U21" s="7">
        <v>2021</v>
      </c>
      <c r="V21" s="7" t="s">
        <v>41</v>
      </c>
      <c r="X21" s="22"/>
      <c r="Y21" s="22">
        <f t="shared" si="8"/>
        <v>8050.4</v>
      </c>
      <c r="Z21" s="25"/>
      <c r="AA21" s="22"/>
      <c r="AD21" s="24"/>
      <c r="AE21" s="24"/>
    </row>
    <row r="22" spans="1:33">
      <c r="A22" s="7">
        <v>18</v>
      </c>
      <c r="B22" s="7"/>
      <c r="C22" s="7">
        <v>2022</v>
      </c>
      <c r="D22" s="7" t="s">
        <v>35</v>
      </c>
      <c r="E22" s="22">
        <f t="shared" si="0"/>
        <v>7636</v>
      </c>
      <c r="F22" s="24">
        <f t="shared" si="5"/>
        <v>7944.3666666666659</v>
      </c>
      <c r="G22" s="23">
        <f t="shared" si="6"/>
        <v>8079.42</v>
      </c>
      <c r="H22" s="22">
        <f t="shared" si="3"/>
        <v>7996.7430904309995</v>
      </c>
      <c r="I22" s="22">
        <f t="shared" si="4"/>
        <v>7397.1106525777986</v>
      </c>
      <c r="J22" s="22">
        <f t="shared" si="1"/>
        <v>7636</v>
      </c>
      <c r="K22" s="23"/>
      <c r="L22" s="23"/>
      <c r="M22" s="23"/>
      <c r="O22" s="24"/>
      <c r="P22" s="24">
        <f>MAX(P6:P17)</f>
        <v>40877.798019710201</v>
      </c>
      <c r="Q22" s="6" t="str">
        <f>VLOOKUP(P22,P6:Q17,2,FALSE)</f>
        <v>ETS (UB)</v>
      </c>
      <c r="R22" s="6" t="s">
        <v>34</v>
      </c>
      <c r="U22" s="7">
        <v>2022</v>
      </c>
      <c r="V22" s="7" t="s">
        <v>35</v>
      </c>
      <c r="X22" s="22"/>
      <c r="Y22" s="22">
        <f t="shared" si="8"/>
        <v>7636</v>
      </c>
      <c r="Z22" s="26">
        <f>IF($Z$4="3MA",F22,IF($Z$4="5MA Symm",G22,IF($Z$4="Alpha 0.7",H22,IF($Z$4="Alpha 0.3",I22,J22))))</f>
        <v>8079.42</v>
      </c>
      <c r="AA22" s="22"/>
      <c r="AD22" s="24"/>
      <c r="AE22" s="24"/>
    </row>
    <row r="23" spans="1:33">
      <c r="A23" s="7">
        <v>19</v>
      </c>
      <c r="B23" s="7"/>
      <c r="C23" s="7">
        <v>2022</v>
      </c>
      <c r="D23" s="7" t="s">
        <v>37</v>
      </c>
      <c r="E23" s="22">
        <f t="shared" si="0"/>
        <v>8150</v>
      </c>
      <c r="F23" s="24">
        <f t="shared" si="5"/>
        <v>7945.4666666666672</v>
      </c>
      <c r="G23" s="23">
        <f t="shared" si="6"/>
        <v>8192.880000000001</v>
      </c>
      <c r="H23" s="22">
        <f t="shared" si="3"/>
        <v>7744.2229271292999</v>
      </c>
      <c r="I23" s="22">
        <f t="shared" si="4"/>
        <v>7468.7774568044588</v>
      </c>
      <c r="J23" s="22">
        <f t="shared" si="1"/>
        <v>8150</v>
      </c>
      <c r="K23" s="23"/>
      <c r="L23" s="23"/>
      <c r="M23" s="23"/>
      <c r="U23" s="7">
        <v>2022</v>
      </c>
      <c r="V23" s="7" t="s">
        <v>37</v>
      </c>
      <c r="X23" s="22"/>
      <c r="Y23" s="22">
        <f t="shared" si="8"/>
        <v>8150</v>
      </c>
      <c r="Z23" s="26">
        <f t="shared" ref="Z23:Z36" si="9">IF($Z$4="3MA",F23,IF($Z$4="5MA Symm",G23,IF($Z$4="Alpha 0.7",H23,IF($Z$4="Alpha 0.3",I23,J23))))</f>
        <v>8192.880000000001</v>
      </c>
      <c r="AA23" s="22"/>
      <c r="AC23" s="7"/>
      <c r="AD23" s="24"/>
      <c r="AE23" s="24"/>
    </row>
    <row r="24" spans="1:33">
      <c r="A24" s="7">
        <v>20</v>
      </c>
      <c r="B24" s="7"/>
      <c r="C24" s="7">
        <v>2022</v>
      </c>
      <c r="D24" s="7" t="s">
        <v>39</v>
      </c>
      <c r="E24" s="22">
        <f t="shared" si="0"/>
        <v>8414</v>
      </c>
      <c r="F24" s="24">
        <f t="shared" si="5"/>
        <v>8066.666666666667</v>
      </c>
      <c r="G24" s="23">
        <f t="shared" si="6"/>
        <v>8326.76</v>
      </c>
      <c r="H24" s="22">
        <f t="shared" si="3"/>
        <v>8028.2668781387893</v>
      </c>
      <c r="I24" s="22">
        <f t="shared" si="4"/>
        <v>7673.1442197631204</v>
      </c>
      <c r="J24" s="22">
        <f t="shared" si="1"/>
        <v>8414</v>
      </c>
      <c r="K24" s="27"/>
      <c r="L24" s="27"/>
      <c r="M24" s="27"/>
      <c r="U24" s="7">
        <v>2022</v>
      </c>
      <c r="V24" s="7" t="s">
        <v>39</v>
      </c>
      <c r="X24" s="22"/>
      <c r="Y24" s="22">
        <f t="shared" si="8"/>
        <v>8414</v>
      </c>
      <c r="Z24" s="26">
        <f t="shared" si="9"/>
        <v>8326.76</v>
      </c>
      <c r="AA24" s="22"/>
      <c r="AD24" s="24"/>
      <c r="AE24" s="24"/>
    </row>
    <row r="25" spans="1:33">
      <c r="A25" s="7">
        <v>21</v>
      </c>
      <c r="B25" s="7"/>
      <c r="C25" s="7">
        <v>2022</v>
      </c>
      <c r="D25" s="7" t="s">
        <v>41</v>
      </c>
      <c r="E25" s="22">
        <f t="shared" si="0"/>
        <v>8714</v>
      </c>
      <c r="F25" s="24">
        <f t="shared" si="5"/>
        <v>8426</v>
      </c>
      <c r="G25" s="23">
        <f t="shared" si="6"/>
        <v>8633.2200000000012</v>
      </c>
      <c r="H25" s="22">
        <f t="shared" si="3"/>
        <v>8298.2800634416362</v>
      </c>
      <c r="I25" s="22">
        <f t="shared" si="4"/>
        <v>7895.4009538341834</v>
      </c>
      <c r="J25" s="22">
        <f t="shared" si="1"/>
        <v>8714</v>
      </c>
      <c r="K25" s="27"/>
      <c r="L25" s="27"/>
      <c r="M25" s="27"/>
      <c r="U25" s="7">
        <v>2022</v>
      </c>
      <c r="V25" s="7" t="s">
        <v>41</v>
      </c>
      <c r="X25" s="22"/>
      <c r="Y25" s="22">
        <f t="shared" si="8"/>
        <v>8714</v>
      </c>
      <c r="Z25" s="26">
        <f t="shared" si="9"/>
        <v>8633.2200000000012</v>
      </c>
      <c r="AA25" s="22"/>
      <c r="AD25" s="24"/>
      <c r="AE25" s="24"/>
    </row>
    <row r="26" spans="1:33">
      <c r="A26" s="7">
        <v>22</v>
      </c>
      <c r="B26" s="7">
        <v>1</v>
      </c>
      <c r="C26" s="7">
        <v>2023</v>
      </c>
      <c r="D26" s="7" t="s">
        <v>35</v>
      </c>
      <c r="E26" s="22">
        <f t="shared" si="0"/>
        <v>8719.7999999999993</v>
      </c>
      <c r="F26" s="24">
        <f t="shared" si="5"/>
        <v>8615.9333333333325</v>
      </c>
      <c r="G26" s="23">
        <f t="shared" si="6"/>
        <v>8877.9399999999987</v>
      </c>
      <c r="H26" s="22">
        <f t="shared" si="3"/>
        <v>8589.2840190324896</v>
      </c>
      <c r="I26" s="22">
        <f t="shared" si="4"/>
        <v>8140.980667683928</v>
      </c>
      <c r="J26" s="22">
        <f t="shared" si="1"/>
        <v>8719.7999999999993</v>
      </c>
      <c r="K26" s="27"/>
      <c r="L26" s="27"/>
      <c r="M26" s="23"/>
      <c r="U26" s="7">
        <v>2023</v>
      </c>
      <c r="V26" s="7" t="s">
        <v>35</v>
      </c>
      <c r="X26" s="22"/>
      <c r="Y26" s="22">
        <f t="shared" si="8"/>
        <v>8719.7999999999993</v>
      </c>
      <c r="Z26" s="26">
        <f t="shared" si="9"/>
        <v>8877.9399999999987</v>
      </c>
      <c r="AA26" s="22"/>
      <c r="AC26" s="7"/>
      <c r="AD26" s="24"/>
      <c r="AE26" s="24"/>
    </row>
    <row r="27" spans="1:33" ht="16.05" customHeight="1">
      <c r="A27" s="7">
        <v>23</v>
      </c>
      <c r="B27" s="7">
        <v>2</v>
      </c>
      <c r="C27" s="7">
        <v>2023</v>
      </c>
      <c r="D27" s="7" t="s">
        <v>37</v>
      </c>
      <c r="E27" s="22">
        <f t="shared" si="0"/>
        <v>9168.2999999999993</v>
      </c>
      <c r="F27" s="24">
        <f t="shared" si="5"/>
        <v>8867.3666666666668</v>
      </c>
      <c r="G27" s="23">
        <f t="shared" si="6"/>
        <v>9080.14</v>
      </c>
      <c r="H27" s="22">
        <f t="shared" si="3"/>
        <v>8680.6452057097449</v>
      </c>
      <c r="I27" s="22">
        <f t="shared" si="4"/>
        <v>8314.6264673787482</v>
      </c>
      <c r="J27" s="22">
        <f t="shared" si="1"/>
        <v>9168.2999999999993</v>
      </c>
      <c r="K27" s="27"/>
      <c r="L27" s="27"/>
      <c r="M27" s="27"/>
      <c r="U27" s="7">
        <v>2023</v>
      </c>
      <c r="V27" s="7" t="s">
        <v>37</v>
      </c>
      <c r="X27" s="22"/>
      <c r="Y27" s="22">
        <f t="shared" si="8"/>
        <v>9168.2999999999993</v>
      </c>
      <c r="Z27" s="26">
        <f t="shared" si="9"/>
        <v>9080.14</v>
      </c>
      <c r="AA27" s="22"/>
      <c r="AD27" s="24"/>
      <c r="AE27" s="24"/>
    </row>
    <row r="28" spans="1:33">
      <c r="A28" s="7">
        <v>24</v>
      </c>
      <c r="B28" s="7">
        <v>3</v>
      </c>
      <c r="C28" s="7">
        <v>2023</v>
      </c>
      <c r="D28" s="7" t="s">
        <v>39</v>
      </c>
      <c r="E28" s="22">
        <f t="shared" si="0"/>
        <v>9373.6</v>
      </c>
      <c r="F28" s="24">
        <f>AVERAGE(E26:E28)</f>
        <v>9087.2333333333318</v>
      </c>
      <c r="G28" s="23">
        <f t="shared" si="6"/>
        <v>9049.9399999999987</v>
      </c>
      <c r="H28" s="22">
        <f t="shared" si="3"/>
        <v>9022.0035617129233</v>
      </c>
      <c r="I28" s="22">
        <f t="shared" si="4"/>
        <v>8570.7285271651235</v>
      </c>
      <c r="J28" s="22">
        <f t="shared" si="1"/>
        <v>9373.6</v>
      </c>
      <c r="K28" s="27"/>
      <c r="L28" s="27"/>
      <c r="M28" s="27"/>
      <c r="U28" s="7">
        <v>2023</v>
      </c>
      <c r="V28" s="7" t="s">
        <v>39</v>
      </c>
      <c r="X28" s="22"/>
      <c r="Y28" s="22">
        <f t="shared" si="8"/>
        <v>9373.6</v>
      </c>
      <c r="Z28" s="26">
        <f t="shared" si="9"/>
        <v>9049.9399999999987</v>
      </c>
      <c r="AA28" s="22"/>
      <c r="AB28" s="24"/>
      <c r="AD28" s="24"/>
      <c r="AE28" s="24"/>
    </row>
    <row r="29" spans="1:33">
      <c r="A29" s="7">
        <v>25</v>
      </c>
      <c r="B29" s="7">
        <v>4</v>
      </c>
      <c r="C29" s="7">
        <v>2023</v>
      </c>
      <c r="D29" s="7" t="s">
        <v>41</v>
      </c>
      <c r="E29" s="22">
        <f t="shared" si="0"/>
        <v>9425</v>
      </c>
      <c r="F29" s="24">
        <f t="shared" si="5"/>
        <v>9322.3000000000011</v>
      </c>
      <c r="G29" s="23">
        <f t="shared" si="6"/>
        <v>9128.7800000000007</v>
      </c>
      <c r="H29" s="22">
        <f t="shared" si="3"/>
        <v>9268.1210685138758</v>
      </c>
      <c r="I29" s="22">
        <f t="shared" si="4"/>
        <v>8811.5899690155857</v>
      </c>
      <c r="J29" s="22">
        <f t="shared" si="1"/>
        <v>9425</v>
      </c>
      <c r="K29" s="27"/>
      <c r="L29" s="27"/>
      <c r="M29" s="27"/>
      <c r="P29" s="28"/>
      <c r="Q29" s="28"/>
      <c r="R29" s="28"/>
      <c r="U29" s="7">
        <v>2023</v>
      </c>
      <c r="V29" s="7" t="s">
        <v>41</v>
      </c>
      <c r="W29" s="22"/>
      <c r="X29" s="22"/>
      <c r="Y29" s="22">
        <f t="shared" si="8"/>
        <v>9425</v>
      </c>
      <c r="Z29" s="26">
        <f t="shared" si="9"/>
        <v>9128.7800000000007</v>
      </c>
      <c r="AA29" s="25"/>
      <c r="AB29" s="25"/>
      <c r="AC29" s="7"/>
      <c r="AD29" s="24"/>
      <c r="AE29" s="24"/>
    </row>
    <row r="30" spans="1:33">
      <c r="A30" s="7">
        <v>26</v>
      </c>
      <c r="B30" s="7">
        <v>5</v>
      </c>
      <c r="C30" s="7">
        <v>2024</v>
      </c>
      <c r="D30" s="7" t="s">
        <v>35</v>
      </c>
      <c r="E30" s="22">
        <f t="shared" si="0"/>
        <v>8563</v>
      </c>
      <c r="F30" s="24">
        <f t="shared" si="5"/>
        <v>9120.5333333333328</v>
      </c>
      <c r="G30" s="23">
        <f t="shared" si="6"/>
        <v>9109.92</v>
      </c>
      <c r="H30" s="22">
        <f t="shared" si="3"/>
        <v>9377.9363205541631</v>
      </c>
      <c r="I30" s="22">
        <f t="shared" si="4"/>
        <v>8995.61297831091</v>
      </c>
      <c r="J30" s="22">
        <f t="shared" si="1"/>
        <v>8563</v>
      </c>
      <c r="K30" s="27"/>
      <c r="L30" s="27"/>
      <c r="M30" s="23"/>
      <c r="P30" s="28"/>
      <c r="Q30" s="28"/>
      <c r="R30" s="28"/>
      <c r="U30" s="7">
        <v>2024</v>
      </c>
      <c r="V30" s="7" t="s">
        <v>35</v>
      </c>
      <c r="W30" s="25"/>
      <c r="X30" s="25"/>
      <c r="Y30" s="22">
        <f t="shared" si="8"/>
        <v>8563</v>
      </c>
      <c r="Z30" s="26">
        <f t="shared" si="9"/>
        <v>9109.92</v>
      </c>
      <c r="AA30" s="25"/>
      <c r="AB30" s="25"/>
      <c r="AD30" s="24"/>
      <c r="AE30" s="24"/>
      <c r="AF30" s="24"/>
      <c r="AG30" s="24"/>
    </row>
    <row r="31" spans="1:33">
      <c r="A31" s="7">
        <v>27</v>
      </c>
      <c r="B31" s="7">
        <v>6</v>
      </c>
      <c r="C31" s="7">
        <v>2024</v>
      </c>
      <c r="D31" s="7" t="s">
        <v>37</v>
      </c>
      <c r="E31" s="22">
        <f t="shared" si="0"/>
        <v>9114</v>
      </c>
      <c r="F31" s="24">
        <f t="shared" si="5"/>
        <v>9034</v>
      </c>
      <c r="G31" s="23">
        <f t="shared" si="6"/>
        <v>9114.76</v>
      </c>
      <c r="H31" s="22">
        <f t="shared" si="3"/>
        <v>8807.4808961662493</v>
      </c>
      <c r="I31" s="22">
        <f t="shared" si="4"/>
        <v>8865.8290848176366</v>
      </c>
      <c r="J31" s="22">
        <f t="shared" si="1"/>
        <v>9114</v>
      </c>
      <c r="K31" s="27"/>
      <c r="L31" s="27"/>
      <c r="M31" s="23"/>
      <c r="P31" s="28"/>
      <c r="Q31" s="28"/>
      <c r="R31" s="28"/>
      <c r="U31" s="7">
        <v>2024</v>
      </c>
      <c r="V31" s="7" t="s">
        <v>37</v>
      </c>
      <c r="W31" s="22"/>
      <c r="X31" s="22"/>
      <c r="Y31" s="22">
        <f t="shared" si="8"/>
        <v>9114</v>
      </c>
      <c r="Z31" s="26">
        <f t="shared" si="9"/>
        <v>9114.76</v>
      </c>
      <c r="AA31" s="25"/>
      <c r="AB31" s="25"/>
      <c r="AC31" s="10"/>
      <c r="AD31" s="24"/>
      <c r="AE31" s="24"/>
      <c r="AF31" s="25"/>
      <c r="AG31" s="25"/>
    </row>
    <row r="32" spans="1:33">
      <c r="A32" s="7">
        <v>28</v>
      </c>
      <c r="B32" s="7">
        <v>7</v>
      </c>
      <c r="C32" s="7">
        <v>2024</v>
      </c>
      <c r="D32" s="7" t="s">
        <v>39</v>
      </c>
      <c r="E32" s="22">
        <f t="shared" si="0"/>
        <v>9074</v>
      </c>
      <c r="F32" s="24">
        <f t="shared" si="5"/>
        <v>8917</v>
      </c>
      <c r="G32" s="23">
        <f t="shared" si="6"/>
        <v>8982.08</v>
      </c>
      <c r="H32" s="22">
        <f t="shared" si="3"/>
        <v>9022.0442688498733</v>
      </c>
      <c r="I32" s="22">
        <f t="shared" si="4"/>
        <v>8940.2803593723438</v>
      </c>
      <c r="J32" s="22">
        <f t="shared" si="1"/>
        <v>9074</v>
      </c>
      <c r="K32" s="27"/>
      <c r="L32" s="27"/>
      <c r="M32" s="27"/>
      <c r="P32" s="28"/>
      <c r="Q32" s="28"/>
      <c r="R32" s="28"/>
      <c r="U32" s="7">
        <v>2024</v>
      </c>
      <c r="V32" s="7" t="s">
        <v>39</v>
      </c>
      <c r="W32" s="22"/>
      <c r="X32" s="22"/>
      <c r="Y32" s="22">
        <f t="shared" si="8"/>
        <v>9074</v>
      </c>
      <c r="Z32" s="26">
        <f t="shared" si="9"/>
        <v>8982.08</v>
      </c>
      <c r="AA32" s="25"/>
      <c r="AB32" s="25"/>
      <c r="AC32" s="7"/>
      <c r="AE32" s="25"/>
      <c r="AF32" s="25"/>
      <c r="AG32" s="25"/>
    </row>
    <row r="33" spans="1:36">
      <c r="A33" s="7">
        <v>29</v>
      </c>
      <c r="B33" s="7">
        <v>8</v>
      </c>
      <c r="C33" s="7">
        <v>2024</v>
      </c>
      <c r="D33" s="7" t="s">
        <v>41</v>
      </c>
      <c r="E33" s="22">
        <f t="shared" si="0"/>
        <v>9397.7999999999993</v>
      </c>
      <c r="F33" s="24">
        <f t="shared" si="5"/>
        <v>9195.2666666666664</v>
      </c>
      <c r="G33" s="23">
        <f t="shared" si="6"/>
        <v>9160.68</v>
      </c>
      <c r="H33" s="22">
        <f t="shared" si="3"/>
        <v>9058.4132806549605</v>
      </c>
      <c r="I33" s="22">
        <f t="shared" si="4"/>
        <v>8980.3962515606399</v>
      </c>
      <c r="J33" s="22">
        <f t="shared" si="1"/>
        <v>9397.7999999999993</v>
      </c>
      <c r="K33" s="27"/>
      <c r="L33" s="27"/>
      <c r="M33" s="23"/>
      <c r="P33" s="28"/>
      <c r="Q33" s="28"/>
      <c r="R33" s="28"/>
      <c r="U33" s="7">
        <v>2024</v>
      </c>
      <c r="V33" s="7" t="s">
        <v>41</v>
      </c>
      <c r="W33" s="25"/>
      <c r="X33" s="25"/>
      <c r="Y33" s="22">
        <f t="shared" si="8"/>
        <v>9397.7999999999993</v>
      </c>
      <c r="Z33" s="26">
        <f t="shared" si="9"/>
        <v>9160.68</v>
      </c>
      <c r="AA33" s="25"/>
      <c r="AB33" s="25"/>
      <c r="AE33" s="25"/>
      <c r="AF33" s="25"/>
      <c r="AG33" s="25"/>
    </row>
    <row r="34" spans="1:36">
      <c r="A34" s="7">
        <v>30</v>
      </c>
      <c r="B34" s="7">
        <v>9</v>
      </c>
      <c r="C34" s="7">
        <v>2025</v>
      </c>
      <c r="D34" s="7" t="s">
        <v>35</v>
      </c>
      <c r="E34" s="22">
        <f t="shared" si="0"/>
        <v>8761.6</v>
      </c>
      <c r="F34" s="24">
        <f>AVERAGE(E32:E34)</f>
        <v>9077.8000000000011</v>
      </c>
      <c r="G34" s="23">
        <f t="shared" si="6"/>
        <v>9251.68</v>
      </c>
      <c r="H34" s="22">
        <f t="shared" si="3"/>
        <v>9295.9839841964877</v>
      </c>
      <c r="I34" s="22">
        <f t="shared" si="4"/>
        <v>9105.6173760924466</v>
      </c>
      <c r="J34" s="22">
        <f t="shared" si="1"/>
        <v>8761.6</v>
      </c>
      <c r="K34" s="27"/>
      <c r="L34" s="27"/>
      <c r="M34" s="27"/>
      <c r="P34" s="28"/>
      <c r="Q34" s="28"/>
      <c r="R34" s="28"/>
      <c r="U34" s="7">
        <v>2025</v>
      </c>
      <c r="V34" s="7" t="s">
        <v>35</v>
      </c>
      <c r="Y34" s="22">
        <f t="shared" si="8"/>
        <v>8761.6</v>
      </c>
      <c r="Z34" s="26">
        <f t="shared" si="9"/>
        <v>9251.68</v>
      </c>
      <c r="AA34" s="25"/>
      <c r="AB34" s="25"/>
      <c r="AE34" s="25"/>
      <c r="AF34" s="25"/>
      <c r="AG34" s="25"/>
    </row>
    <row r="35" spans="1:36">
      <c r="A35" s="7">
        <v>31</v>
      </c>
      <c r="B35" s="7">
        <v>10</v>
      </c>
      <c r="C35" s="7">
        <v>2025</v>
      </c>
      <c r="D35" s="7" t="s">
        <v>37</v>
      </c>
      <c r="E35" s="22">
        <f t="shared" si="0"/>
        <v>9456</v>
      </c>
      <c r="F35" s="24">
        <f>AVERAGE(E33:E35)</f>
        <v>9205.1333333333332</v>
      </c>
      <c r="G35" s="23">
        <f t="shared" si="6"/>
        <v>9419.9</v>
      </c>
      <c r="H35" s="22">
        <f t="shared" si="3"/>
        <v>8921.9151952589455</v>
      </c>
      <c r="I35" s="22">
        <f t="shared" si="4"/>
        <v>9002.4121632647129</v>
      </c>
      <c r="J35" s="22">
        <f t="shared" si="1"/>
        <v>9456</v>
      </c>
      <c r="K35" s="27"/>
      <c r="L35" s="27"/>
      <c r="M35" s="23"/>
      <c r="P35" s="28"/>
      <c r="Q35" s="28"/>
      <c r="R35" s="28"/>
      <c r="U35" s="7">
        <v>2025</v>
      </c>
      <c r="V35" s="7" t="s">
        <v>37</v>
      </c>
      <c r="Y35" s="22">
        <f t="shared" si="8"/>
        <v>9456</v>
      </c>
      <c r="Z35" s="26">
        <f t="shared" si="9"/>
        <v>9419.9</v>
      </c>
      <c r="AA35" s="25"/>
      <c r="AB35" s="25"/>
      <c r="AE35" s="25"/>
      <c r="AF35" s="25"/>
      <c r="AG35" s="25"/>
      <c r="AH35" s="24"/>
      <c r="AI35" s="24"/>
      <c r="AJ35" s="24"/>
    </row>
    <row r="36" spans="1:36">
      <c r="A36" s="7">
        <v>32</v>
      </c>
      <c r="B36" s="7">
        <v>11</v>
      </c>
      <c r="C36" s="7">
        <v>2025</v>
      </c>
      <c r="D36" s="7" t="s">
        <v>39</v>
      </c>
      <c r="E36" s="22">
        <f t="shared" si="0"/>
        <v>9569</v>
      </c>
      <c r="F36" s="24">
        <f>AVERAGE(E34:E36)</f>
        <v>9262.1999999999989</v>
      </c>
      <c r="G36" s="29">
        <f t="shared" ref="G36:G44" si="10">_xlfn.FORECAST.LINEAR(B36,$G$26:$G$35,$B$26:$B$35)</f>
        <v>9324.1440000000002</v>
      </c>
      <c r="H36" s="22">
        <f t="shared" si="3"/>
        <v>9295.7745585776829</v>
      </c>
      <c r="I36" s="22">
        <f t="shared" si="4"/>
        <v>9138.4885142852982</v>
      </c>
      <c r="J36" s="22">
        <f t="shared" si="1"/>
        <v>9569</v>
      </c>
      <c r="K36" s="27"/>
      <c r="L36" s="27"/>
      <c r="M36" s="27"/>
      <c r="P36" s="28"/>
      <c r="Q36" s="28"/>
      <c r="R36" s="28"/>
      <c r="S36" s="28"/>
      <c r="T36" s="28"/>
      <c r="U36" s="7">
        <v>2025</v>
      </c>
      <c r="V36" s="7" t="s">
        <v>39</v>
      </c>
      <c r="Y36" s="22">
        <f t="shared" si="8"/>
        <v>9569</v>
      </c>
      <c r="Z36" s="26">
        <f t="shared" si="9"/>
        <v>9324.1440000000002</v>
      </c>
      <c r="AA36" s="25"/>
      <c r="AB36" s="25"/>
      <c r="AE36" s="25"/>
      <c r="AF36" s="25"/>
      <c r="AG36" s="25"/>
    </row>
    <row r="37" spans="1:36">
      <c r="A37" s="7">
        <v>33</v>
      </c>
      <c r="B37" s="7">
        <v>12</v>
      </c>
      <c r="C37" s="7">
        <v>2025</v>
      </c>
      <c r="D37" s="7" t="s">
        <v>41</v>
      </c>
      <c r="E37" s="22">
        <f t="shared" si="0"/>
        <v>9915.1</v>
      </c>
      <c r="F37" s="24">
        <f>AVERAGE(E35:E37)</f>
        <v>9646.6999999999989</v>
      </c>
      <c r="G37" s="29">
        <f t="shared" si="10"/>
        <v>9361.7007272727278</v>
      </c>
      <c r="H37" s="22">
        <f t="shared" si="3"/>
        <v>9487.0323675733034</v>
      </c>
      <c r="I37" s="22">
        <f t="shared" si="4"/>
        <v>9267.641959999708</v>
      </c>
      <c r="J37" s="22">
        <f t="shared" si="1"/>
        <v>9915.1</v>
      </c>
      <c r="K37" s="27"/>
      <c r="L37" s="27"/>
      <c r="M37" s="27"/>
      <c r="P37" s="28"/>
      <c r="Q37" s="28"/>
      <c r="R37" s="28"/>
      <c r="S37" s="28"/>
      <c r="T37" s="28"/>
      <c r="U37" s="7">
        <v>2025</v>
      </c>
      <c r="V37" s="7" t="s">
        <v>41</v>
      </c>
      <c r="Y37" s="22">
        <f t="shared" si="8"/>
        <v>9915.1</v>
      </c>
      <c r="Z37" s="26">
        <f>IF($Z$4="3MA",F37,IF($Z$4="5MA Symm",G37,IF($Z$4="Alpha 0.7",H37,IF($Z$4="Alpha 0.3",I37,J37))))</f>
        <v>9361.7007272727278</v>
      </c>
      <c r="AA37" s="25">
        <f>Z37</f>
        <v>9361.7007272727278</v>
      </c>
      <c r="AB37" s="25">
        <f>Z37</f>
        <v>9361.7007272727278</v>
      </c>
      <c r="AE37" s="25"/>
      <c r="AF37" s="25"/>
      <c r="AG37" s="25"/>
    </row>
    <row r="38" spans="1:36">
      <c r="B38" s="7">
        <v>13</v>
      </c>
      <c r="C38" s="7">
        <v>2026</v>
      </c>
      <c r="D38" s="7" t="s">
        <v>35</v>
      </c>
      <c r="E38" s="23"/>
      <c r="F38" s="29">
        <f>_xlfn.FORECAST.LINEAR(B38,$F$26:$F$37,$B$26:$B$37)</f>
        <v>9444.4843434343438</v>
      </c>
      <c r="G38" s="29">
        <f>_xlfn.FORECAST.LINEAR(B38,$G$26:$G$35,$B$26:$B$35)</f>
        <v>9399.2574545454554</v>
      </c>
      <c r="H38" s="29">
        <f>_xlfn.FORECAST.LINEAR(B38,$H$26:$H$37,$B$26:$B$37)</f>
        <v>9389.4790971420662</v>
      </c>
      <c r="I38" s="29">
        <f>_xlfn.FORECAST.LINEAR(B38,$I$26:$I$37,$B$26:$B$37)</f>
        <v>9397.4433043066019</v>
      </c>
      <c r="J38" s="30">
        <f>_xlfn.FORECAST.ETS(B38,$J$26:$J$37,$B$26:$B$37,1,1,1)</f>
        <v>9565.8773267340111</v>
      </c>
      <c r="K38" s="30">
        <f t="shared" ref="K38:K44" si="11">J38-_xlfn.FORECAST.ETS.CONFINT(B38,$J$26:$J$37,$B$26:$B$37,0.95,1,1,1)</f>
        <v>8875.1974250294461</v>
      </c>
      <c r="L38" s="30">
        <f t="shared" ref="L38:L44" si="12">J38+_xlfn.FORECAST.ETS.CONFINT(B38,$J$26:$J$37,$B$26:$B$37,0.95,1,1,1)</f>
        <v>10256.557228438576</v>
      </c>
      <c r="M38" s="23">
        <f t="shared" ref="M38:M44" si="13">E34</f>
        <v>8761.6</v>
      </c>
      <c r="P38" s="28"/>
      <c r="Q38" s="28"/>
      <c r="R38" s="28"/>
      <c r="S38" s="28"/>
      <c r="T38" s="28"/>
      <c r="U38" s="31">
        <v>2026</v>
      </c>
      <c r="V38" s="31" t="s">
        <v>35</v>
      </c>
      <c r="Z38" s="32">
        <f>IF($Z$4="3MA",$F$55,IF($Z$4="5MA Symm",$G$55,IF($Z$4="Alpha 0.7",$H$55,IF($Z$4="Alpha 0.3",$I$55,J38))))</f>
        <v>9495.7485373258605</v>
      </c>
      <c r="AA38" s="32">
        <f>IF($Z$4="3MA",$F$53,IF($Z$4="5MA Symm",$G$53,IF($Z$4="Alpha 0.7",$H$53,IF($Z$4="Alpha 0.3",$I$53,K38))))</f>
        <v>9204.1883851408547</v>
      </c>
      <c r="AB38" s="32">
        <f>IF($Z$4="3MA",$F$54,IF($Z$4="5MA Symm",$G$54,IF($Z$4="Alpha 0.7",$H$54,IF($Z$4="Alpha 0.3",$I$54,L38))))</f>
        <v>9787.3086895108663</v>
      </c>
    </row>
    <row r="39" spans="1:36">
      <c r="B39" s="7">
        <v>14</v>
      </c>
      <c r="C39" s="7">
        <v>2026</v>
      </c>
      <c r="D39" s="7" t="s">
        <v>37</v>
      </c>
      <c r="E39" s="23"/>
      <c r="F39" s="29">
        <f>_xlfn.FORECAST.LINEAR(B39,$F$26:$F$37,$B$26:$B$37)</f>
        <v>9495.5400543900541</v>
      </c>
      <c r="G39" s="29">
        <f>_xlfn.FORECAST.LINEAR(B39,$G$26:$G$35,$B$26:$B$35)</f>
        <v>9436.814181818183</v>
      </c>
      <c r="H39" s="29">
        <f t="shared" ref="H39:H44" si="14">_xlfn.FORECAST.LINEAR(B39,$H$26:$H$37,$B$26:$B$37)</f>
        <v>9438.8010771280151</v>
      </c>
      <c r="I39" s="29">
        <f t="shared" ref="I39:I44" si="15">_xlfn.FORECAST.LINEAR(B39,$I$26:$I$37,$B$26:$B$37)</f>
        <v>9482.5088854954738</v>
      </c>
      <c r="J39" s="30">
        <f t="shared" ref="J39:J44" si="16">_xlfn.FORECAST.ETS(B39,$J$26:$J$37,$B$26:$B$37,1,1,1)</f>
        <v>9624.6574597035597</v>
      </c>
      <c r="K39" s="30">
        <f t="shared" si="11"/>
        <v>8928.429850196253</v>
      </c>
      <c r="L39" s="30">
        <f t="shared" si="12"/>
        <v>10320.885069210866</v>
      </c>
      <c r="M39" s="23">
        <f t="shared" si="13"/>
        <v>9456</v>
      </c>
      <c r="P39" s="28"/>
      <c r="Q39" s="28"/>
      <c r="R39" s="28"/>
      <c r="S39" s="28"/>
      <c r="T39" s="28"/>
      <c r="U39" s="31">
        <v>2026</v>
      </c>
      <c r="V39" s="31" t="s">
        <v>37</v>
      </c>
      <c r="Z39" s="32">
        <f>IF($Z$4="3MA",$F$58,IF($Z$4="5MA Symm",$G$58,IF($Z$4="Alpha 0.7",$H$58,IF($Z$4="Alpha 0.3",$I$58,J39))))</f>
        <v>9533.5263617147666</v>
      </c>
      <c r="AA39" s="32">
        <f>IF($Z$4="3MA",$F$56,IF($Z$4="5MA Symm",$G$56,IF($Z$4="Alpha 0.7",$H$56,IF($Z$4="Alpha 0.3",$I$56,K39))))</f>
        <v>9205.4384903010341</v>
      </c>
      <c r="AB39" s="32">
        <f>IF($Z$4="3MA",$F$57,IF($Z$4="5MA Symm",$G$57,IF($Z$4="Alpha 0.7",$H$57,IF($Z$4="Alpha 0.3",$I$57,L39))))</f>
        <v>9861.6142331284991</v>
      </c>
    </row>
    <row r="40" spans="1:36">
      <c r="B40" s="7">
        <v>15</v>
      </c>
      <c r="C40" s="7">
        <v>2026</v>
      </c>
      <c r="D40" s="7" t="s">
        <v>39</v>
      </c>
      <c r="E40" s="23"/>
      <c r="F40" s="29">
        <f t="shared" ref="F40:F44" si="17">_xlfn.FORECAST.LINEAR(B40,$F$26:$F$37,$B$26:$B$37)</f>
        <v>9546.5957653457644</v>
      </c>
      <c r="G40" s="29">
        <f t="shared" si="10"/>
        <v>9474.3709090909106</v>
      </c>
      <c r="H40" s="29">
        <f t="shared" si="14"/>
        <v>9488.1230571139658</v>
      </c>
      <c r="I40" s="29">
        <f t="shared" si="15"/>
        <v>9567.5744666843475</v>
      </c>
      <c r="J40" s="30">
        <f t="shared" si="16"/>
        <v>9683.4375926731082</v>
      </c>
      <c r="K40" s="30">
        <f t="shared" si="11"/>
        <v>8981.6194632854604</v>
      </c>
      <c r="L40" s="30">
        <f t="shared" si="12"/>
        <v>10385.255722060756</v>
      </c>
      <c r="M40" s="23">
        <f t="shared" si="13"/>
        <v>9569</v>
      </c>
      <c r="P40" s="28"/>
      <c r="Q40" s="28"/>
      <c r="R40" s="28"/>
      <c r="S40" s="33"/>
      <c r="T40" s="33"/>
      <c r="U40" s="31">
        <v>2026</v>
      </c>
      <c r="V40" s="31" t="s">
        <v>39</v>
      </c>
      <c r="Z40" s="32">
        <f>IF($Z$4="3MA",$F$61,IF($Z$4="5MA Symm",$G$61,IF($Z$4="Alpha 0.7",$H$61,IF($Z$4="Alpha 0.3",$I$61,J40))))</f>
        <v>9571.3041861036727</v>
      </c>
      <c r="AA40" s="32">
        <f>IF($Z$4="3MA",$F$59,IF($Z$4="5MA Symm",$G$59,IF($Z$4="Alpha 0.7",$H$59,IF($Z$4="Alpha 0.3",$I$59,K40))))</f>
        <v>9210.2832198786618</v>
      </c>
      <c r="AB40" s="32">
        <f>IF($Z$4="3MA",$F$60,IF($Z$4="5MA Symm",$G$60,IF($Z$4="Alpha 0.7",$H$60,IF($Z$4="Alpha 0.3",$I$60,L40))))</f>
        <v>9932.3251523286835</v>
      </c>
      <c r="AE40" s="10"/>
      <c r="AF40" s="10"/>
      <c r="AG40" s="10"/>
    </row>
    <row r="41" spans="1:36">
      <c r="B41" s="7">
        <v>16</v>
      </c>
      <c r="C41" s="7">
        <v>2026</v>
      </c>
      <c r="D41" s="7" t="s">
        <v>41</v>
      </c>
      <c r="E41" s="23"/>
      <c r="F41" s="29">
        <f t="shared" si="17"/>
        <v>9597.6514763014766</v>
      </c>
      <c r="G41" s="29">
        <f t="shared" si="10"/>
        <v>9511.9276363636363</v>
      </c>
      <c r="H41" s="29">
        <f t="shared" si="14"/>
        <v>9537.4450370999148</v>
      </c>
      <c r="I41" s="29">
        <f t="shared" si="15"/>
        <v>9652.6400478732212</v>
      </c>
      <c r="J41" s="30">
        <f t="shared" si="16"/>
        <v>9742.2177256426567</v>
      </c>
      <c r="K41" s="30">
        <f t="shared" si="11"/>
        <v>9034.7666049376021</v>
      </c>
      <c r="L41" s="30">
        <f t="shared" si="12"/>
        <v>10449.668846347711</v>
      </c>
      <c r="M41" s="23">
        <f t="shared" si="13"/>
        <v>9915.1</v>
      </c>
      <c r="P41" s="28"/>
      <c r="Q41" s="28"/>
      <c r="R41" s="28"/>
      <c r="U41" s="31">
        <v>2026</v>
      </c>
      <c r="V41" s="31" t="s">
        <v>41</v>
      </c>
      <c r="Z41" s="32">
        <f>IF($Z$4="3MA",$F$64,IF($Z$4="5MA Symm",$G$64,IF($Z$4="Alpha 0.7",$H$64,IF($Z$4="Alpha 0.3",$I$64,J41))))</f>
        <v>9609.0820104925788</v>
      </c>
      <c r="AA41" s="32">
        <f>IF($Z$4="3MA",$F$62,IF($Z$4="5MA Symm",$G$62,IF($Z$4="Alpha 0.7",$H$62,IF($Z$4="Alpha 0.3",$I$62,K41))))</f>
        <v>9217.813736496948</v>
      </c>
      <c r="AB41" s="32">
        <f>IF($Z$4="3MA",$F$63,IF($Z$4="5MA Symm",$G$63,IF($Z$4="Alpha 0.7",$H$63,IF($Z$4="Alpha 0.3",$I$63,L41))))</f>
        <v>10000.35028448821</v>
      </c>
      <c r="AE41" s="24"/>
      <c r="AF41" s="34"/>
      <c r="AG41" s="24"/>
    </row>
    <row r="42" spans="1:36">
      <c r="B42" s="7">
        <v>17</v>
      </c>
      <c r="C42" s="7">
        <v>2027</v>
      </c>
      <c r="D42" s="7" t="s">
        <v>35</v>
      </c>
      <c r="E42" s="23"/>
      <c r="F42" s="29">
        <f t="shared" si="17"/>
        <v>9648.7071872571869</v>
      </c>
      <c r="G42" s="29">
        <f t="shared" si="10"/>
        <v>9549.4843636363639</v>
      </c>
      <c r="H42" s="29">
        <f t="shared" si="14"/>
        <v>9586.7670170858655</v>
      </c>
      <c r="I42" s="29">
        <f t="shared" si="15"/>
        <v>9737.7056290620949</v>
      </c>
      <c r="J42" s="30">
        <f t="shared" si="16"/>
        <v>9800.9978586122052</v>
      </c>
      <c r="K42" s="30">
        <f t="shared" si="11"/>
        <v>9087.8716126594336</v>
      </c>
      <c r="L42" s="30">
        <f t="shared" si="12"/>
        <v>10514.124104564977</v>
      </c>
      <c r="M42" s="23">
        <f t="shared" si="13"/>
        <v>0</v>
      </c>
      <c r="P42" s="33"/>
      <c r="Q42" s="33"/>
      <c r="R42" s="33"/>
      <c r="AE42" s="24"/>
      <c r="AF42" s="34"/>
      <c r="AG42" s="24"/>
    </row>
    <row r="43" spans="1:36">
      <c r="B43" s="7">
        <v>18</v>
      </c>
      <c r="C43" s="7">
        <v>2027</v>
      </c>
      <c r="D43" s="7" t="s">
        <v>37</v>
      </c>
      <c r="E43" s="23"/>
      <c r="F43" s="29">
        <f t="shared" si="17"/>
        <v>9699.7628982128972</v>
      </c>
      <c r="G43" s="29">
        <f t="shared" si="10"/>
        <v>9587.0410909090915</v>
      </c>
      <c r="H43" s="29">
        <f t="shared" si="14"/>
        <v>9636.0889970718144</v>
      </c>
      <c r="I43" s="29">
        <f t="shared" si="15"/>
        <v>9822.7712102509686</v>
      </c>
      <c r="J43" s="30">
        <f t="shared" si="16"/>
        <v>9859.7779915817537</v>
      </c>
      <c r="K43" s="30">
        <f t="shared" si="11"/>
        <v>9140.9348207480907</v>
      </c>
      <c r="L43" s="30">
        <f t="shared" si="12"/>
        <v>10578.621162415417</v>
      </c>
      <c r="M43" s="23">
        <f t="shared" si="13"/>
        <v>0</v>
      </c>
      <c r="P43" s="33"/>
      <c r="Q43" s="33"/>
      <c r="V43" s="35">
        <v>2025</v>
      </c>
      <c r="X43" s="10" t="s">
        <v>47</v>
      </c>
      <c r="Y43" s="10" t="s">
        <v>48</v>
      </c>
      <c r="Z43" s="10" t="s">
        <v>49</v>
      </c>
      <c r="AE43" s="24"/>
      <c r="AF43" s="34"/>
      <c r="AG43" s="24"/>
    </row>
    <row r="44" spans="1:36">
      <c r="B44" s="7">
        <v>19</v>
      </c>
      <c r="C44" s="7">
        <v>20027</v>
      </c>
      <c r="D44" s="7" t="s">
        <v>39</v>
      </c>
      <c r="E44" s="23"/>
      <c r="F44" s="29">
        <f t="shared" si="17"/>
        <v>9750.8186091686093</v>
      </c>
      <c r="G44" s="29">
        <f t="shared" si="10"/>
        <v>9624.5978181818191</v>
      </c>
      <c r="H44" s="29">
        <f t="shared" si="14"/>
        <v>9685.4109770577634</v>
      </c>
      <c r="I44" s="29">
        <f t="shared" si="15"/>
        <v>9907.8367914398423</v>
      </c>
      <c r="J44" s="30">
        <f t="shared" si="16"/>
        <v>9918.5581245513022</v>
      </c>
      <c r="K44" s="30">
        <f t="shared" si="11"/>
        <v>9193.9565602231542</v>
      </c>
      <c r="L44" s="30">
        <f t="shared" si="12"/>
        <v>10643.15968887945</v>
      </c>
      <c r="M44" s="23">
        <f t="shared" si="13"/>
        <v>0</v>
      </c>
      <c r="P44" s="33"/>
      <c r="Q44" s="33"/>
      <c r="V44" s="36" t="str">
        <f>W4</f>
        <v>QUARTER</v>
      </c>
      <c r="W44" s="6" t="s">
        <v>50</v>
      </c>
      <c r="X44" s="24">
        <f>F79</f>
        <v>9915.1</v>
      </c>
      <c r="Y44" s="37">
        <f>IF($Z$4="3MA",F80,IF($Z$4="5MA Symm",G80,IF($Z$4="Alpha 0.7",H80,IF($Z$4="Alpha 0.3",I80,J80))))-X44</f>
        <v>28600.579085144294</v>
      </c>
      <c r="Z44" s="24">
        <f>X44+Y44</f>
        <v>38515.679085144293</v>
      </c>
    </row>
    <row r="45" spans="1:36">
      <c r="B45" s="7"/>
      <c r="C45" s="7"/>
      <c r="P45" s="33"/>
      <c r="Q45" s="33"/>
      <c r="V45" s="38" t="str">
        <f>Z4</f>
        <v>5MA Symm</v>
      </c>
      <c r="W45" s="6" t="s">
        <v>33</v>
      </c>
      <c r="X45" s="24">
        <f>F79</f>
        <v>9915.1</v>
      </c>
      <c r="Y45" s="37">
        <f>IF($Z$4="3MA",F81,IF($Z$4="5MA Symm",G81,IF($Z$4="Alpha 0.7",H81,IF($Z$4="Alpha 0.3",I81,J81))))-X45</f>
        <v>27619.910095320556</v>
      </c>
      <c r="Z45" s="24">
        <f t="shared" ref="Z45:Z46" si="18">X45+Y45</f>
        <v>37535.010095320555</v>
      </c>
    </row>
    <row r="46" spans="1:36">
      <c r="B46" s="7"/>
      <c r="C46" s="7"/>
      <c r="P46" s="33"/>
      <c r="Q46" s="33"/>
      <c r="W46" s="6" t="s">
        <v>34</v>
      </c>
      <c r="X46" s="24">
        <f>F79</f>
        <v>9915.1</v>
      </c>
      <c r="Y46" s="37">
        <f>IF($Z$4="3MA",F82,IF($Z$4="5MA Symm",G82,IF($Z$4="Alpha 0.7",H82,IF($Z$4="Alpha 0.3",I82,J82))))-X46</f>
        <v>29581.248074968047</v>
      </c>
      <c r="Z46" s="24">
        <f t="shared" si="18"/>
        <v>39496.348074968046</v>
      </c>
    </row>
    <row r="47" spans="1:36">
      <c r="B47" s="7"/>
      <c r="C47" s="7"/>
      <c r="D47" s="7" t="s">
        <v>51</v>
      </c>
      <c r="E47" s="23">
        <f>SUM(E29:E32)</f>
        <v>36176</v>
      </c>
      <c r="G47" s="22"/>
      <c r="H47" s="22"/>
      <c r="I47" s="22"/>
      <c r="J47" s="22"/>
      <c r="K47" s="22"/>
      <c r="L47" s="22"/>
      <c r="M47" s="22"/>
    </row>
    <row r="48" spans="1:36">
      <c r="B48" s="7"/>
      <c r="D48" s="7" t="s">
        <v>52</v>
      </c>
      <c r="E48" s="23">
        <f>SUM(E33:E36)</f>
        <v>37184.400000000001</v>
      </c>
      <c r="F48" s="22"/>
      <c r="G48" s="22"/>
      <c r="H48" s="22"/>
      <c r="I48" s="22"/>
      <c r="J48" s="22"/>
      <c r="K48" s="22"/>
      <c r="L48" s="22"/>
      <c r="M48" s="22"/>
      <c r="N48" s="39"/>
      <c r="V48" s="35">
        <v>2026</v>
      </c>
      <c r="X48" s="10" t="s">
        <v>47</v>
      </c>
      <c r="Y48" s="10" t="s">
        <v>48</v>
      </c>
      <c r="Z48" s="10" t="s">
        <v>53</v>
      </c>
    </row>
    <row r="49" spans="1:45">
      <c r="B49" s="7"/>
      <c r="D49" s="7" t="s">
        <v>54</v>
      </c>
      <c r="E49" s="23"/>
      <c r="F49" s="22">
        <f>$E$37+SUM(F38:F40)</f>
        <v>38401.720163170161</v>
      </c>
      <c r="G49" s="22">
        <f t="shared" ref="G49:M49" si="19">$E$37+SUM(G38:G40)</f>
        <v>38225.542545454548</v>
      </c>
      <c r="H49" s="22">
        <f t="shared" si="19"/>
        <v>38231.503231384049</v>
      </c>
      <c r="I49" s="22">
        <f t="shared" si="19"/>
        <v>38362.62665648642</v>
      </c>
      <c r="J49" s="22">
        <f t="shared" si="19"/>
        <v>38789.072379110679</v>
      </c>
      <c r="K49" s="22">
        <f t="shared" si="19"/>
        <v>36700.346738511158</v>
      </c>
      <c r="L49" s="22">
        <f t="shared" si="19"/>
        <v>40877.798019710201</v>
      </c>
      <c r="M49" s="22">
        <f t="shared" si="19"/>
        <v>37701.699999999997</v>
      </c>
      <c r="N49" s="39"/>
      <c r="V49" s="36" t="str">
        <f>W4</f>
        <v>QUARTER</v>
      </c>
      <c r="W49" s="6" t="s">
        <v>50</v>
      </c>
      <c r="X49" s="24">
        <f>F84</f>
        <v>0</v>
      </c>
      <c r="Y49" s="37">
        <f>IF($Z$4="3MA",F85,IF($Z$4="5MA Symm",G85,IF($Z$4="Alpha 0.7",H85,IF($Z$4="Alpha 0.3",I85,J85))))-X49</f>
        <v>38662.994988303755</v>
      </c>
      <c r="Z49" s="24">
        <f>X49+Y49</f>
        <v>38662.994988303755</v>
      </c>
    </row>
    <row r="50" spans="1:45" s="41" customFormat="1">
      <c r="A50" s="6"/>
      <c r="B50" s="7"/>
      <c r="C50" s="6"/>
      <c r="D50" s="7"/>
      <c r="E50" s="40"/>
      <c r="F50" s="40"/>
      <c r="G50" s="40"/>
      <c r="H50" s="40"/>
      <c r="I50" s="40"/>
      <c r="J50" s="40"/>
      <c r="K50" s="40"/>
      <c r="L50" s="40"/>
      <c r="M50" s="40"/>
      <c r="N50" s="39"/>
      <c r="O50" s="6"/>
      <c r="P50" s="6"/>
      <c r="Q50" s="6"/>
      <c r="R50" s="6"/>
      <c r="S50" s="6"/>
      <c r="T50" s="6"/>
      <c r="U50" s="6"/>
      <c r="V50" s="38" t="str">
        <f>Z4</f>
        <v>5MA Symm</v>
      </c>
      <c r="W50" s="6" t="s">
        <v>33</v>
      </c>
      <c r="X50" s="24">
        <f>F84</f>
        <v>0</v>
      </c>
      <c r="Y50" s="37">
        <f>IF($Z$4="3MA",F86,IF($Z$4="5MA Symm",G86,IF($Z$4="Alpha 0.7",H86,IF($Z$4="Alpha 0.3",I86,J86))))-X50</f>
        <v>36935.597702665575</v>
      </c>
      <c r="Z50" s="24">
        <f t="shared" ref="Z50:Z51" si="20">X50+Y50</f>
        <v>36935.597702665575</v>
      </c>
      <c r="AA50" s="6"/>
      <c r="AB50" s="6"/>
      <c r="AC50" s="6"/>
      <c r="AD50" s="6"/>
      <c r="AE50" s="6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>
      <c r="B51" s="42"/>
      <c r="C51" s="7" t="s">
        <v>22</v>
      </c>
      <c r="D51" s="7"/>
      <c r="E51" s="40"/>
      <c r="F51" s="40"/>
      <c r="G51" s="40"/>
      <c r="H51" s="40"/>
      <c r="I51" s="40"/>
      <c r="J51" s="40"/>
      <c r="K51" s="40"/>
      <c r="L51" s="40"/>
      <c r="M51" s="40"/>
      <c r="N51" s="39"/>
      <c r="W51" s="6" t="s">
        <v>34</v>
      </c>
      <c r="X51" s="24">
        <f>F84</f>
        <v>0</v>
      </c>
      <c r="Y51" s="37">
        <f>IF($Z$4="3MA",F87,IF($Z$4="5MA Symm",G87,IF($Z$4="Alpha 0.7",H87,IF($Z$4="Alpha 0.3",I87,J87))))-X51</f>
        <v>40390.392273941921</v>
      </c>
      <c r="Z51" s="24">
        <f t="shared" si="20"/>
        <v>40390.392273941921</v>
      </c>
    </row>
    <row r="52" spans="1:45">
      <c r="B52" s="43"/>
      <c r="C52" s="44"/>
      <c r="D52" s="44"/>
      <c r="E52" s="45"/>
      <c r="F52" s="45"/>
      <c r="G52" s="45"/>
      <c r="H52" s="45"/>
      <c r="I52" s="45"/>
      <c r="J52" s="45"/>
      <c r="K52" s="45"/>
      <c r="L52" s="45"/>
      <c r="M52" s="46"/>
      <c r="N52" s="39"/>
    </row>
    <row r="53" spans="1:45">
      <c r="B53" s="42"/>
      <c r="C53" s="47">
        <v>2026</v>
      </c>
      <c r="D53" s="47" t="s">
        <v>55</v>
      </c>
      <c r="E53" s="48"/>
      <c r="F53" s="49">
        <f>F$55-_xlfn.FORECAST.ETS.CONFINT($B38,F26:F37,$B$26:$B$37,0.95,1,1,1)</f>
        <v>9301.4620091318557</v>
      </c>
      <c r="G53" s="49">
        <f>G$55-_xlfn.FORECAST.ETS.CONFINT($B38,G26:G35,$B$26:$B$35,0.95,1,1,1)</f>
        <v>9204.1883851408547</v>
      </c>
      <c r="H53" s="49">
        <f>H$55-_xlfn.FORECAST.ETS.CONFINT($B38,H26:H37,$B$26:$B$37,0.95,1,1,1)</f>
        <v>8980.8515965675451</v>
      </c>
      <c r="I53" s="49">
        <f>I$55-_xlfn.FORECAST.ETS.CONFINT($B38,I26:I37,$B$26:$B$37,0.95,1,1,1)</f>
        <v>9107.7158483552339</v>
      </c>
      <c r="J53" s="48"/>
      <c r="K53" s="48"/>
      <c r="L53" s="48"/>
      <c r="M53" s="50"/>
      <c r="N53" s="39"/>
    </row>
    <row r="54" spans="1:45">
      <c r="B54" s="43"/>
      <c r="C54" s="47">
        <v>2026</v>
      </c>
      <c r="D54" s="51" t="s">
        <v>56</v>
      </c>
      <c r="E54" s="52"/>
      <c r="F54" s="45">
        <f>F$55+_xlfn.FORECAST.ETS.CONFINT($B38,F26:F37,$B$26:$B$37,0.95,1,1,1)</f>
        <v>10028.112669763292</v>
      </c>
      <c r="G54" s="45">
        <f>G$55+_xlfn.FORECAST.ETS.CONFINT($B38,G26:G35,$B$26:$B$35,0.95,1,1,1)</f>
        <v>9787.3086895108663</v>
      </c>
      <c r="H54" s="45">
        <f>H$55+_xlfn.FORECAST.ETS.CONFINT($B38,H26:H37,$B$26:$B$37,0.95,1,1,1)</f>
        <v>9993.0172190211761</v>
      </c>
      <c r="I54" s="45">
        <f>I$55+_xlfn.FORECAST.ETS.CONFINT($B38,I26:I37,$B$26:$B$37,0.95,1,1,1)</f>
        <v>9620.2128198416649</v>
      </c>
      <c r="J54" s="52"/>
      <c r="K54" s="52"/>
      <c r="L54" s="52"/>
      <c r="M54" s="53"/>
      <c r="N54" s="39"/>
    </row>
    <row r="55" spans="1:45">
      <c r="B55" s="54">
        <v>13</v>
      </c>
      <c r="C55" s="47">
        <v>2026</v>
      </c>
      <c r="D55" s="55" t="s">
        <v>35</v>
      </c>
      <c r="E55" s="56"/>
      <c r="F55" s="57">
        <f>_xlfn.FORECAST.ETS($B38,F26:F37,$B$26:$B$37,1,1,1)</f>
        <v>9664.7873394475737</v>
      </c>
      <c r="G55" s="57">
        <f>_xlfn.FORECAST.ETS($B38,G26:G35,$B$26:$B$35,1,1,1)</f>
        <v>9495.7485373258605</v>
      </c>
      <c r="H55" s="57">
        <f>_xlfn.FORECAST.ETS($B38,H26:H37,$B$26:$B$37,1,1,1)</f>
        <v>9486.9344077943606</v>
      </c>
      <c r="I55" s="57">
        <f>_xlfn.FORECAST.ETS($B38,I26:I37,$B$26:$B$37,1,1,1)</f>
        <v>9363.9643340984494</v>
      </c>
      <c r="J55" s="56"/>
      <c r="K55" s="56"/>
      <c r="L55" s="56"/>
      <c r="M55" s="58"/>
      <c r="N55" s="39"/>
      <c r="T55" s="59" t="s">
        <v>57</v>
      </c>
    </row>
    <row r="56" spans="1:45">
      <c r="B56" s="43"/>
      <c r="C56" s="44">
        <v>2026</v>
      </c>
      <c r="D56" s="44" t="s">
        <v>58</v>
      </c>
      <c r="E56" s="45"/>
      <c r="F56" s="45">
        <f>F$58-_xlfn.FORECAST.ETS.CONFINT($B39,F26:F37,$B$26:$B$37,0.95,1,1,1)</f>
        <v>9227.2772147934411</v>
      </c>
      <c r="G56" s="45">
        <f>G$58-_xlfn.FORECAST.ETS.CONFINT($B39,G26:G35,$B$26:$B$35,0.95,1,1,1)</f>
        <v>9205.4384903010341</v>
      </c>
      <c r="H56" s="45">
        <f>H$58-_xlfn.FORECAST.ETS.CONFINT($B39,H26:H37,$B$26:$B$37,0.95,1,1,1)</f>
        <v>8903.7525758169704</v>
      </c>
      <c r="I56" s="45">
        <f>I$58-_xlfn.FORECAST.ETS.CONFINT($B39,I26:I37,$B$26:$B$37,0.95,1,1,1)</f>
        <v>8999.0993041527017</v>
      </c>
      <c r="J56" s="45"/>
      <c r="K56" s="45"/>
      <c r="L56" s="45"/>
      <c r="M56" s="46"/>
      <c r="N56" s="39"/>
      <c r="U56" s="10" t="s">
        <v>59</v>
      </c>
      <c r="V56" s="10" t="s">
        <v>60</v>
      </c>
      <c r="W56" s="10" t="s">
        <v>61</v>
      </c>
      <c r="X56" s="10" t="s">
        <v>62</v>
      </c>
      <c r="Y56" s="10" t="s">
        <v>63</v>
      </c>
    </row>
    <row r="57" spans="1:45">
      <c r="B57" s="43"/>
      <c r="C57" s="44">
        <v>2026</v>
      </c>
      <c r="D57" s="44" t="s">
        <v>64</v>
      </c>
      <c r="E57" s="45"/>
      <c r="F57" s="45">
        <f>F$58+_xlfn.FORECAST.ETS.CONFINT($B39,F26:F37,$B$26:$B$37,0.95,1,1,1)</f>
        <v>10205.371947755848</v>
      </c>
      <c r="G57" s="45">
        <f>G$58+_xlfn.FORECAST.ETS.CONFINT($B39,G26:G35,$B$26:$B$35,0.95,1,1,1)</f>
        <v>9861.6142331284991</v>
      </c>
      <c r="H57" s="45">
        <f>H$58+_xlfn.FORECAST.ETS.CONFINT($B39,H26:H37,$B$26:$B$37,0.95,1,1,1)</f>
        <v>10169.56716224754</v>
      </c>
      <c r="I57" s="45">
        <f>I$58+_xlfn.FORECAST.ETS.CONFINT($B39,I26:I37,$B$26:$B$37,0.95,1,1,1)</f>
        <v>9921.7374831591023</v>
      </c>
      <c r="J57" s="45"/>
      <c r="K57" s="45"/>
      <c r="L57" s="45"/>
      <c r="M57" s="46"/>
      <c r="N57" s="39"/>
      <c r="V57" s="6" t="s">
        <v>65</v>
      </c>
      <c r="W57" s="6" t="s">
        <v>66</v>
      </c>
      <c r="X57" s="6" t="s">
        <v>67</v>
      </c>
      <c r="Y57" s="6" t="s">
        <v>68</v>
      </c>
    </row>
    <row r="58" spans="1:45">
      <c r="B58" s="43">
        <v>14</v>
      </c>
      <c r="C58" s="44">
        <v>2026</v>
      </c>
      <c r="D58" s="44" t="s">
        <v>37</v>
      </c>
      <c r="E58" s="52"/>
      <c r="F58" s="57">
        <f>_xlfn.FORECAST.ETS($B39,F26:F37,$B$26:$B$37,1,1,1)</f>
        <v>9716.3245812746445</v>
      </c>
      <c r="G58" s="57">
        <f>_xlfn.FORECAST.ETS($B39,G26:G35,$B$26:$B$35,1,1,1)</f>
        <v>9533.5263617147666</v>
      </c>
      <c r="H58" s="57">
        <f>_xlfn.FORECAST.ETS($B39,H26:H37,$B$26:$B$37,1,1,1)</f>
        <v>9536.6598690322553</v>
      </c>
      <c r="I58" s="57">
        <f>_xlfn.FORECAST.ETS($B39,I26:I37,$B$26:$B$37,1,1,1)</f>
        <v>9460.418393655902</v>
      </c>
      <c r="J58" s="52"/>
      <c r="K58" s="52"/>
      <c r="L58" s="52"/>
      <c r="M58" s="53"/>
      <c r="N58"/>
      <c r="P58" s="10"/>
      <c r="Q58" s="10"/>
      <c r="R58" s="10"/>
      <c r="S58" s="10"/>
      <c r="T58" s="10"/>
      <c r="V58" s="6" t="s">
        <v>69</v>
      </c>
      <c r="W58" s="6" t="s">
        <v>70</v>
      </c>
      <c r="X58" s="6" t="s">
        <v>71</v>
      </c>
      <c r="Y58" s="6" t="s">
        <v>72</v>
      </c>
      <c r="AP58" s="10"/>
      <c r="AQ58" s="10"/>
    </row>
    <row r="59" spans="1:45">
      <c r="B59" s="43"/>
      <c r="C59" s="47">
        <v>2026</v>
      </c>
      <c r="D59" s="51" t="s">
        <v>73</v>
      </c>
      <c r="E59" s="52"/>
      <c r="F59" s="45">
        <f>F$61-_xlfn.FORECAST.ETS.CONFINT($B40,F26:F37,$B$26:$B$37,0.95,1,1,1)</f>
        <v>9179.1621006426085</v>
      </c>
      <c r="G59" s="45">
        <f>G$61-_xlfn.FORECAST.ETS.CONFINT($B40,G26:G35,$B$26:$B$35,0.95,1,1,1)</f>
        <v>9210.2832198786618</v>
      </c>
      <c r="H59" s="45">
        <f>H$61-_xlfn.FORECAST.ETS.CONFINT($B40,H26:H37,$B$26:$B$37,0.95,1,1,1)</f>
        <v>8847.8676122239813</v>
      </c>
      <c r="I59" s="45">
        <f>I$61-_xlfn.FORECAST.ETS.CONFINT($B40,I26:I37,$B$26:$B$37,0.95,1,1,1)</f>
        <v>8868.0917289242116</v>
      </c>
      <c r="J59" s="52"/>
      <c r="K59" s="52"/>
      <c r="L59" s="52"/>
      <c r="M59" s="53"/>
      <c r="N59"/>
      <c r="P59" s="10"/>
      <c r="Q59" s="10"/>
      <c r="R59" s="10"/>
      <c r="V59" s="6" t="s">
        <v>74</v>
      </c>
      <c r="W59" s="6" t="s">
        <v>75</v>
      </c>
      <c r="X59" s="6" t="s">
        <v>76</v>
      </c>
      <c r="Y59" s="6" t="s">
        <v>77</v>
      </c>
    </row>
    <row r="60" spans="1:45">
      <c r="B60" s="43"/>
      <c r="C60" s="47">
        <v>2026</v>
      </c>
      <c r="D60" s="51" t="s">
        <v>78</v>
      </c>
      <c r="E60" s="52"/>
      <c r="F60" s="45">
        <f>F61+_xlfn.FORECAST.ETS.CONFINT($B40,F26:F37,$B$26:$B$37,0.95,1,1,1)</f>
        <v>10356.561545560826</v>
      </c>
      <c r="G60" s="45">
        <f>G61+_xlfn.FORECAST.ETS.CONFINT($B40,G26:G35,$B$26:$B$35,0.95,1,1,1)</f>
        <v>9932.3251523286835</v>
      </c>
      <c r="H60" s="45">
        <f>H61+_xlfn.FORECAST.ETS.CONFINT($B40,H26:H37,$B$26:$B$37,0.95,1,1,1)</f>
        <v>10324.903048316322</v>
      </c>
      <c r="I60" s="45">
        <f>I61+_xlfn.FORECAST.ETS.CONFINT($B40,I26:I37,$B$26:$B$37,0.95,1,1,1)</f>
        <v>10245.653177502498</v>
      </c>
      <c r="J60" s="52"/>
      <c r="K60" s="52"/>
      <c r="L60" s="52"/>
      <c r="M60" s="53"/>
      <c r="N60" s="60"/>
      <c r="P60" s="24"/>
      <c r="Q60" s="37"/>
      <c r="R60" s="24"/>
    </row>
    <row r="61" spans="1:45">
      <c r="B61" s="54">
        <v>15</v>
      </c>
      <c r="C61" s="47">
        <v>2026</v>
      </c>
      <c r="D61" s="55" t="s">
        <v>39</v>
      </c>
      <c r="E61" s="56"/>
      <c r="F61" s="57">
        <f>_xlfn.FORECAST.ETS($B40,F26:F37,$B$26:$B$37,1,1,1)</f>
        <v>9767.8618231017172</v>
      </c>
      <c r="G61" s="57">
        <f>_xlfn.FORECAST.ETS($B40,G26:G35,$B$26:$B$35,1,1,1)</f>
        <v>9571.3041861036727</v>
      </c>
      <c r="H61" s="57">
        <f>_xlfn.FORECAST.ETS($B40,H26:H37,$B$26:$B$37,1,1,1)</f>
        <v>9586.3853302701518</v>
      </c>
      <c r="I61" s="57">
        <f>_xlfn.FORECAST.ETS($B40,I26:I37,$B$26:$B$37,1,1,1)</f>
        <v>9556.8724532133547</v>
      </c>
      <c r="J61" s="56"/>
      <c r="K61" s="56"/>
      <c r="L61" s="56"/>
      <c r="M61" s="58"/>
      <c r="N61"/>
      <c r="P61" s="24"/>
      <c r="Q61" s="37"/>
      <c r="R61" s="24"/>
      <c r="T61" s="10" t="s">
        <v>79</v>
      </c>
      <c r="U61" s="61" t="s">
        <v>80</v>
      </c>
      <c r="V61" s="61"/>
      <c r="W61" s="10" t="s">
        <v>81</v>
      </c>
      <c r="X61" s="10" t="str">
        <f>X118</f>
        <v>5MA</v>
      </c>
      <c r="Y61" s="10"/>
      <c r="Z61" s="10"/>
      <c r="AA61" s="10"/>
      <c r="AB61" s="10"/>
      <c r="AC61" s="10"/>
      <c r="AD61" s="10"/>
      <c r="AE61" s="10"/>
      <c r="AO61" s="10"/>
    </row>
    <row r="62" spans="1:45">
      <c r="B62" s="43"/>
      <c r="C62" s="44">
        <v>2026</v>
      </c>
      <c r="D62" s="44" t="s">
        <v>82</v>
      </c>
      <c r="E62" s="45"/>
      <c r="F62" s="45">
        <f>F$64-_xlfn.FORECAST.ETS.CONFINT($B41,F26:F37,$B$26:$B$37,0.95,1,1,1)</f>
        <v>9145.4512410259995</v>
      </c>
      <c r="G62" s="45">
        <f>G$64-_xlfn.FORECAST.ETS.CONFINT($B41,G26:G35,$B$26:$B$35,0.95,1,1,1)</f>
        <v>9217.813736496948</v>
      </c>
      <c r="H62" s="45">
        <f>H$64-_xlfn.FORECAST.ETS.CONFINT($B41,H26:H37,$B$26:$B$37,0.95,1,1,1)</f>
        <v>8805.068880261726</v>
      </c>
      <c r="I62" s="45">
        <f>I$64-_xlfn.FORECAST.ETS.CONFINT($B41,I26:I37,$B$26:$B$37,0.95,1,1,1)</f>
        <v>8713.552877335731</v>
      </c>
      <c r="J62" s="45"/>
      <c r="K62" s="45"/>
      <c r="L62" s="45"/>
      <c r="M62" s="46"/>
      <c r="N62"/>
      <c r="P62" s="24"/>
      <c r="Q62" s="37"/>
      <c r="R62" s="24"/>
      <c r="U62" s="6" t="s">
        <v>83</v>
      </c>
      <c r="W62" s="62" t="s">
        <v>84</v>
      </c>
      <c r="X62" s="62"/>
      <c r="Y62" s="62"/>
      <c r="Z62" s="62"/>
      <c r="AA62" s="62"/>
      <c r="AB62" s="62"/>
      <c r="AC62" s="62"/>
      <c r="AD62" s="62"/>
      <c r="AE62" s="62"/>
    </row>
    <row r="63" spans="1:45">
      <c r="B63" s="43"/>
      <c r="C63" s="44">
        <v>2026</v>
      </c>
      <c r="D63" s="44" t="s">
        <v>85</v>
      </c>
      <c r="E63" s="45"/>
      <c r="F63" s="45">
        <f>F$64+_xlfn.FORECAST.ETS.CONFINT($B41,F26:F37,$B$26:$B$37,0.95,1,1,1)</f>
        <v>10493.34688883158</v>
      </c>
      <c r="G63" s="45">
        <f>G$64+_xlfn.FORECAST.ETS.CONFINT($B41,G26:G35,$B$26:$B$35,0.95,1,1,1)</f>
        <v>10000.35028448821</v>
      </c>
      <c r="H63" s="45">
        <f>H$64+_xlfn.FORECAST.ETS.CONFINT($B41,H26:H37,$B$26:$B$37,0.95,1,1,1)</f>
        <v>10467.152702754367</v>
      </c>
      <c r="I63" s="45">
        <f>I$64+_xlfn.FORECAST.ETS.CONFINT($B41,I26:I37,$B$26:$B$37,0.95,1,1,1)</f>
        <v>10593.100148205887</v>
      </c>
      <c r="J63" s="45"/>
      <c r="K63" s="45"/>
      <c r="L63" s="45"/>
      <c r="M63" s="46"/>
      <c r="N63" s="60"/>
      <c r="P63" s="63"/>
      <c r="Q63" s="63"/>
      <c r="R63" s="63"/>
      <c r="W63" s="64" t="s">
        <v>86</v>
      </c>
      <c r="X63" s="64" t="s">
        <v>87</v>
      </c>
      <c r="Y63" s="64" t="s">
        <v>88</v>
      </c>
      <c r="Z63" s="65" t="s">
        <v>89</v>
      </c>
      <c r="AA63" s="65" t="s">
        <v>87</v>
      </c>
      <c r="AB63" s="65" t="s">
        <v>88</v>
      </c>
      <c r="AC63" s="66" t="s">
        <v>90</v>
      </c>
      <c r="AD63" s="66" t="s">
        <v>87</v>
      </c>
      <c r="AE63" s="66" t="s">
        <v>88</v>
      </c>
    </row>
    <row r="64" spans="1:45">
      <c r="B64" s="43">
        <v>16</v>
      </c>
      <c r="C64" s="44">
        <v>2026</v>
      </c>
      <c r="D64" s="44" t="s">
        <v>41</v>
      </c>
      <c r="E64" s="52"/>
      <c r="F64" s="57">
        <f>_xlfn.FORECAST.ETS($B41,F26:F37,$B$26:$B$37,1,1,1)</f>
        <v>9819.3990649287898</v>
      </c>
      <c r="G64" s="57">
        <f>_xlfn.FORECAST.ETS($B41,G26:G35,$B$26:$B$35,1,1,1)</f>
        <v>9609.0820104925788</v>
      </c>
      <c r="H64" s="57">
        <f>_xlfn.FORECAST.ETS($B41,H26:H37,$B$26:$B$37,1,1,1)</f>
        <v>9636.1107915080465</v>
      </c>
      <c r="I64" s="57">
        <f>_xlfn.FORECAST.ETS($B41,I26:I37,$B$26:$B$37,1,1,1)</f>
        <v>9653.3265127708091</v>
      </c>
      <c r="J64" s="52"/>
      <c r="K64" s="52"/>
      <c r="L64" s="52"/>
      <c r="M64" s="53"/>
      <c r="N64" s="60"/>
      <c r="P64" s="63"/>
      <c r="Q64" s="63"/>
      <c r="R64" s="63"/>
      <c r="W64" s="7" t="s">
        <v>91</v>
      </c>
      <c r="Z64" s="7" t="s">
        <v>91</v>
      </c>
      <c r="AC64" s="7" t="s">
        <v>91</v>
      </c>
    </row>
    <row r="65" spans="2:39">
      <c r="B65" s="43"/>
      <c r="C65" s="47">
        <v>2027</v>
      </c>
      <c r="D65" s="51" t="s">
        <v>55</v>
      </c>
      <c r="E65" s="52"/>
      <c r="F65" s="49">
        <f>F$67-_xlfn.FORECAST.ETS.CONFINT($B42,F26:F37,$B$26:$B$37,0.95,1,1,1)</f>
        <v>9121.2146857308162</v>
      </c>
      <c r="G65" s="49">
        <f>G$67-_xlfn.FORECAST.ETS.CONFINT($B42,G26:G35,$B$26:$B$35,0.95,1,1,1)</f>
        <v>9227.448457173552</v>
      </c>
      <c r="H65" s="49">
        <f>H$67-_xlfn.FORECAST.ETS.CONFINT($B42,H26:H37,$B$26:$B$37,0.95,1,1,1)</f>
        <v>8771.3752808153949</v>
      </c>
      <c r="I65" s="49">
        <f>I$67-_xlfn.FORECAST.ETS.CONFINT($B42,I26:I37,$B$26:$B$37,0.95,1,1,1)</f>
        <v>8536.6101187495624</v>
      </c>
      <c r="J65" s="52"/>
      <c r="K65" s="52"/>
      <c r="L65" s="52"/>
      <c r="M65" s="53"/>
      <c r="N65" s="60"/>
      <c r="P65" s="63"/>
      <c r="Q65" s="63"/>
      <c r="R65" s="63"/>
    </row>
    <row r="66" spans="2:39">
      <c r="B66" s="43"/>
      <c r="C66" s="47">
        <v>2027</v>
      </c>
      <c r="D66" s="51" t="s">
        <v>56</v>
      </c>
      <c r="E66" s="52"/>
      <c r="F66" s="45">
        <f>F$67+_xlfn.FORECAST.ETS.CONFINT($B42,F26:F37,$B$26:$B$37,0.95,1,1,1)</f>
        <v>10620.657927780905</v>
      </c>
      <c r="G66" s="45">
        <f>G$67+_xlfn.FORECAST.ETS.CONFINT($B42,G26:G35,$B$26:$B$35,0.95,1,1,1)</f>
        <v>10066.271212589418</v>
      </c>
      <c r="H66" s="45">
        <f>H$67+_xlfn.FORECAST.ETS.CONFINT($B42,H26:H37,$B$26:$B$37,0.95,1,1,1)</f>
        <v>10600.297224676491</v>
      </c>
      <c r="I66" s="45">
        <f>I$67+_xlfn.FORECAST.ETS.CONFINT($B42,I26:I37,$B$26:$B$37,0.95,1,1,1)</f>
        <v>10962.951025906961</v>
      </c>
      <c r="J66" s="52"/>
      <c r="K66" s="52"/>
      <c r="L66" s="52"/>
      <c r="M66" s="53"/>
      <c r="N66" s="60"/>
      <c r="P66" s="63"/>
      <c r="Q66" s="63"/>
      <c r="R66" s="63"/>
      <c r="U66" s="7" t="s">
        <v>92</v>
      </c>
      <c r="V66" s="60" t="s">
        <v>93</v>
      </c>
      <c r="W66" s="67" t="str">
        <f>W97</f>
        <v>EXP</v>
      </c>
      <c r="X66" s="68">
        <f>IF(W$66="EXP",$AC120,IF(W66="LB",$AC121,$AC122))</f>
        <v>23306.140589646875</v>
      </c>
      <c r="Y66" s="69">
        <f t="shared" ref="Y66:Z68" si="21">AD97</f>
        <v>23306.140589646875</v>
      </c>
      <c r="Z66" s="70" t="str">
        <f t="shared" si="21"/>
        <v>UB</v>
      </c>
      <c r="AA66" s="68">
        <f>IF(Z$66="EXP",$AC120,IF(Z66="LB",$AC121,$AC122))</f>
        <v>23873.892224353858</v>
      </c>
      <c r="AB66" s="71">
        <f t="shared" ref="AB66:AC68" si="22">AL97</f>
        <v>23873.892224353858</v>
      </c>
      <c r="AC66" s="67" t="str">
        <f t="shared" si="22"/>
        <v>LB</v>
      </c>
      <c r="AD66" s="68">
        <f>IF(AC$66="EXP",$AC120,IF(AC66="LB",$AC121,$AC122))</f>
        <v>22738.388954939892</v>
      </c>
      <c r="AE66" s="71">
        <f>AT97</f>
        <v>22738.388954939892</v>
      </c>
    </row>
    <row r="67" spans="2:39">
      <c r="B67" s="54">
        <v>17</v>
      </c>
      <c r="C67" s="47">
        <v>2027</v>
      </c>
      <c r="D67" s="55" t="s">
        <v>35</v>
      </c>
      <c r="E67" s="56"/>
      <c r="F67" s="57">
        <f>_xlfn.FORECAST.ETS($B42,F26:F37,$B$26:$B$37,1,1,1)</f>
        <v>9870.9363067558606</v>
      </c>
      <c r="G67" s="57">
        <f>_xlfn.FORECAST.ETS($B42,G26:G35,$B$26:$B$35,1,1,1)</f>
        <v>9646.8598348814849</v>
      </c>
      <c r="H67" s="57">
        <f>_xlfn.FORECAST.ETS($B42,H26:H37,$B$26:$B$37,1,1,1)</f>
        <v>9685.8362527459431</v>
      </c>
      <c r="I67" s="57">
        <f>_xlfn.FORECAST.ETS($B42,I26:I37,$B$26:$B$37,1,1,1)</f>
        <v>9749.7805723282618</v>
      </c>
      <c r="J67" s="56"/>
      <c r="K67" s="56"/>
      <c r="L67" s="56"/>
      <c r="M67" s="58"/>
      <c r="N67" s="60"/>
      <c r="P67" s="63"/>
      <c r="Q67" s="63"/>
      <c r="R67" s="63"/>
      <c r="U67" s="7" t="s">
        <v>92</v>
      </c>
      <c r="V67" s="60" t="s">
        <v>94</v>
      </c>
      <c r="W67" s="67" t="str">
        <f>W98</f>
        <v>EXP</v>
      </c>
      <c r="X67" s="68">
        <f>IF(W$67="EXP",$AC123,IF(W67="LB",$AC124,$AC125))</f>
        <v>7488.3676029841045</v>
      </c>
      <c r="Y67" s="69">
        <f t="shared" si="21"/>
        <v>7488.3676029841045</v>
      </c>
      <c r="Z67" s="70" t="str">
        <f t="shared" si="21"/>
        <v>UB</v>
      </c>
      <c r="AA67" s="68">
        <f>IF(Z$67="EXP",$AC123,IF(Z67="LB",$AC124,$AC125))</f>
        <v>7737.1266255108276</v>
      </c>
      <c r="AB67" s="71">
        <f t="shared" si="22"/>
        <v>7737.1266255108276</v>
      </c>
      <c r="AC67" s="67" t="str">
        <f t="shared" si="22"/>
        <v>LB</v>
      </c>
      <c r="AD67" s="68">
        <f>IF(AC$67="EXP",$AC123,IF(AC67="LB",$AC124,$AC125))</f>
        <v>7239.6085804573813</v>
      </c>
      <c r="AE67" s="71">
        <f>AT98</f>
        <v>7239.6085804573813</v>
      </c>
    </row>
    <row r="68" spans="2:39">
      <c r="B68" s="43"/>
      <c r="C68" s="44">
        <v>2027</v>
      </c>
      <c r="D68" s="44" t="s">
        <v>58</v>
      </c>
      <c r="E68" s="45"/>
      <c r="F68" s="45">
        <f>F$70-_xlfn.FORECAST.ETS.CONFINT($B43,F26:F37,$B$26:$B$37,0.95,1,1,1)</f>
        <v>9103.8172432255724</v>
      </c>
      <c r="G68" s="45">
        <f>G$70-_xlfn.FORECAST.ETS.CONFINT($B43,G26:G35,$B$26:$B$35,0.95,1,1,1)</f>
        <v>9238.7886462203242</v>
      </c>
      <c r="H68" s="45">
        <f>H$70-_xlfn.FORECAST.ETS.CONFINT($B43,H26:H37,$B$26:$B$37,0.95,1,1,1)</f>
        <v>8744.4847417377769</v>
      </c>
      <c r="I68" s="45">
        <f>I$70-_xlfn.FORECAST.ETS.CONFINT($B43,I26:I37,$B$26:$B$37,0.95,1,1,1)</f>
        <v>8338.6061879840836</v>
      </c>
      <c r="J68" s="45"/>
      <c r="K68" s="45"/>
      <c r="L68" s="45"/>
      <c r="M68" s="46"/>
      <c r="N68" s="60"/>
      <c r="P68" s="63"/>
      <c r="Q68" s="63"/>
      <c r="R68" s="63"/>
      <c r="U68" s="7" t="s">
        <v>92</v>
      </c>
      <c r="V68" s="60" t="s">
        <v>95</v>
      </c>
      <c r="W68" s="67" t="str">
        <f>W99</f>
        <v>EXP</v>
      </c>
      <c r="X68" s="68">
        <f>IF(W$68="EXP",$AC126,IF(W68="LB",$AC127,$AC128))</f>
        <v>7833.6307910840951</v>
      </c>
      <c r="Y68" s="69">
        <f t="shared" si="21"/>
        <v>7833.6307910840951</v>
      </c>
      <c r="Z68" s="70" t="str">
        <f t="shared" si="21"/>
        <v>UB</v>
      </c>
      <c r="AA68" s="68">
        <f>IF(Z$68="EXP",$AC126,IF(Z68="LB",$AC127,$AC128))</f>
        <v>8145.2849227645675</v>
      </c>
      <c r="AB68" s="71">
        <f t="shared" si="22"/>
        <v>8145.2849227645675</v>
      </c>
      <c r="AC68" s="67" t="str">
        <f t="shared" si="22"/>
        <v>LB</v>
      </c>
      <c r="AD68" s="68">
        <f>IF(AC$68="EXP",$AC126,IF(AC68="LB",$AC127,$AC128))</f>
        <v>7521.9766594036209</v>
      </c>
      <c r="AE68" s="71">
        <f>AT99</f>
        <v>7521.9766594036209</v>
      </c>
    </row>
    <row r="69" spans="2:39" ht="16.2" thickBot="1">
      <c r="B69" s="43"/>
      <c r="C69" s="44">
        <v>2027</v>
      </c>
      <c r="D69" s="44" t="s">
        <v>64</v>
      </c>
      <c r="E69" s="45"/>
      <c r="F69" s="45">
        <f>F$70+_xlfn.FORECAST.ETS.CONFINT($B43,F26:F37,$B$26:$B$37,0.95,1,1,1)</f>
        <v>10741.129853940294</v>
      </c>
      <c r="G69" s="45">
        <f>G$70+_xlfn.FORECAST.ETS.CONFINT($B43,G26:G35,$B$26:$B$35,0.95,1,1,1)</f>
        <v>10130.486672320458</v>
      </c>
      <c r="H69" s="45">
        <f>H$70+_xlfn.FORECAST.ETS.CONFINT($B43,H26:H37,$B$26:$B$37,0.95,1,1,1)</f>
        <v>10726.638686229902</v>
      </c>
      <c r="I69" s="45">
        <f>I$70+_xlfn.FORECAST.ETS.CONFINT($B43,I26:I37,$B$26:$B$37,0.95,1,1,1)</f>
        <v>11353.863075787345</v>
      </c>
      <c r="J69" s="45"/>
      <c r="K69" s="45"/>
      <c r="L69" s="45"/>
      <c r="M69" s="46"/>
      <c r="N69" s="60"/>
      <c r="P69" s="63"/>
      <c r="Q69" s="63"/>
      <c r="R69" s="63"/>
      <c r="U69" s="7"/>
      <c r="V69" s="60" t="s">
        <v>96</v>
      </c>
      <c r="W69" s="67"/>
      <c r="X69" s="72">
        <f>SUM(X66:X68)</f>
        <v>38628.138983715078</v>
      </c>
      <c r="Y69" s="72">
        <f>SUM(Y66:Y68)</f>
        <v>38628.138983715078</v>
      </c>
      <c r="Z69" s="7"/>
      <c r="AA69" s="72">
        <f>SUM(AA66:AA68)</f>
        <v>39756.303772629253</v>
      </c>
      <c r="AB69" s="72">
        <f>SUM(AB66:AB68)</f>
        <v>39756.303772629253</v>
      </c>
      <c r="AC69" s="67"/>
      <c r="AD69" s="72">
        <f>SUM(AD66:AD68)</f>
        <v>37499.974194800896</v>
      </c>
      <c r="AE69" s="72">
        <f>SUM(AE66:AE68)</f>
        <v>37499.974194800896</v>
      </c>
      <c r="AK69" s="24"/>
      <c r="AL69" s="24"/>
      <c r="AM69" s="24"/>
    </row>
    <row r="70" spans="2:39">
      <c r="B70" s="43">
        <v>18</v>
      </c>
      <c r="C70" s="44">
        <v>2027</v>
      </c>
      <c r="D70" s="44" t="s">
        <v>37</v>
      </c>
      <c r="E70" s="52"/>
      <c r="F70" s="57">
        <f>_xlfn.FORECAST.ETS($B43,F26:F37,$B$26:$B$37,1,1,1)</f>
        <v>9922.4735485829333</v>
      </c>
      <c r="G70" s="57">
        <f>_xlfn.FORECAST.ETS($B43,G26:G35,$B$26:$B$35,1,1,1)</f>
        <v>9684.6376592703909</v>
      </c>
      <c r="H70" s="57">
        <f>_xlfn.FORECAST.ETS($B43,H26:H37,$B$26:$B$37,1,1,1)</f>
        <v>9735.5617139838396</v>
      </c>
      <c r="I70" s="57">
        <f>_xlfn.FORECAST.ETS($B43,I26:I37,$B$26:$B$37,1,1,1)</f>
        <v>9846.2346318857144</v>
      </c>
      <c r="J70" s="52"/>
      <c r="K70" s="52"/>
      <c r="L70" s="52"/>
      <c r="M70" s="53"/>
      <c r="N70" s="60"/>
      <c r="P70" s="63"/>
      <c r="Q70" s="63"/>
      <c r="R70" s="63"/>
      <c r="U70" s="7"/>
      <c r="V70" s="60"/>
      <c r="W70" s="67"/>
      <c r="X70" s="68"/>
      <c r="Y70" s="69"/>
      <c r="Z70" s="70"/>
      <c r="AA70" s="68"/>
      <c r="AB70" s="71"/>
      <c r="AC70" s="67"/>
      <c r="AD70" s="68"/>
      <c r="AE70" s="71"/>
      <c r="AK70" s="24"/>
      <c r="AL70" s="24"/>
      <c r="AM70" s="24"/>
    </row>
    <row r="71" spans="2:39">
      <c r="B71" s="43"/>
      <c r="C71" s="47">
        <v>2027</v>
      </c>
      <c r="D71" s="51" t="s">
        <v>73</v>
      </c>
      <c r="E71" s="52"/>
      <c r="F71" s="49">
        <f>F$73-_xlfn.FORECAST.ETS.CONFINT($B44,F26:F37,$B$26:$B$37,0.95,1,1,1)</f>
        <v>9091.6543742375343</v>
      </c>
      <c r="G71" s="45">
        <f>G$73-_xlfn.FORECAST.ETS.CONFINT($B44,G26:G35,$B$26:$B$35,0.95,1,1,1)</f>
        <v>9251.5468627747559</v>
      </c>
      <c r="H71" s="49">
        <f>H$73-_xlfn.FORECAST.ETS.CONFINT($B44,H26:H37,$B$26:$B$37,0.95,1,1,1)</f>
        <v>8722.9241216076025</v>
      </c>
      <c r="I71" s="49">
        <f>I$73-_xlfn.FORECAST.ETS.CONFINT($B44,I26:I37,$B$26:$B$37,0.95,1,1,1)</f>
        <v>8120.7781941601324</v>
      </c>
      <c r="J71" s="52"/>
      <c r="K71" s="52"/>
      <c r="L71" s="52"/>
      <c r="M71" s="53"/>
      <c r="N71" s="60"/>
      <c r="P71" s="63"/>
      <c r="Q71" s="63"/>
      <c r="R71" s="63"/>
      <c r="U71" s="7" t="s">
        <v>97</v>
      </c>
      <c r="V71" s="60" t="s">
        <v>98</v>
      </c>
      <c r="W71" s="67" t="str">
        <f t="shared" ref="W71:W72" si="23">W102</f>
        <v>EXP</v>
      </c>
      <c r="X71" s="68">
        <f>IF(W$71="EXP",$AC129,IF(W71="LB",$AC130,$AC131))</f>
        <v>28159.005275033174</v>
      </c>
      <c r="Y71" s="69">
        <f t="shared" ref="Y71:Z73" si="24">AD102</f>
        <v>28159.005275033174</v>
      </c>
      <c r="Z71" s="70" t="str">
        <f t="shared" si="24"/>
        <v>UB</v>
      </c>
      <c r="AA71" s="68">
        <f>IF(Z$71="EXP",$AC129,IF(Z71="LB",$AC130,$AC131))</f>
        <v>28690.031794105947</v>
      </c>
      <c r="AB71" s="71">
        <f t="shared" ref="AB71:AC73" si="25">AL102</f>
        <v>28690.031794105947</v>
      </c>
      <c r="AC71" s="67" t="str">
        <f t="shared" si="25"/>
        <v>LB</v>
      </c>
      <c r="AD71" s="68">
        <f>IF(AC$71="EXP",$AC129,IF(AC71="LB",$AC130,$AC131))</f>
        <v>27627.978755960405</v>
      </c>
      <c r="AE71" s="71">
        <f t="shared" ref="AE71:AE72" si="26">AT102</f>
        <v>27627.978755960405</v>
      </c>
      <c r="AK71" s="24"/>
      <c r="AL71" s="24"/>
      <c r="AM71" s="24"/>
    </row>
    <row r="72" spans="2:39">
      <c r="B72" s="43"/>
      <c r="C72" s="47">
        <v>2027</v>
      </c>
      <c r="D72" s="51" t="s">
        <v>78</v>
      </c>
      <c r="E72" s="52"/>
      <c r="F72" s="45">
        <f>F$73+_xlfn.FORECAST.ETS.CONFINT($B44,F26:F37,$B$26:$B$37,0.95,1,1,1)</f>
        <v>10856.367206582478</v>
      </c>
      <c r="G72" s="45">
        <f>G73+_xlfn.FORECAST.ETS.CONFINT($B44,G26:G35,$B$26:$B$35,0.95,1,1,1)</f>
        <v>10193.284104543838</v>
      </c>
      <c r="H72" s="45">
        <f>H$73+_xlfn.FORECAST.ETS.CONFINT($B44,H26:H37,$B$26:$B$37,0.95,1,1,1)</f>
        <v>10847.650228835866</v>
      </c>
      <c r="I72" s="45">
        <f>I$73+_xlfn.FORECAST.ETS.CONFINT($B44,I26:I37,$B$26:$B$37,0.95,1,1,1)</f>
        <v>11764.599188726203</v>
      </c>
      <c r="J72" s="52"/>
      <c r="K72" s="52"/>
      <c r="L72" s="52"/>
      <c r="M72" s="53"/>
      <c r="N72" s="60"/>
      <c r="P72" s="63"/>
      <c r="Q72" s="63"/>
      <c r="R72" s="63"/>
      <c r="U72" s="7" t="s">
        <v>97</v>
      </c>
      <c r="V72" s="60" t="s">
        <v>99</v>
      </c>
      <c r="W72" s="67" t="str">
        <f t="shared" si="23"/>
        <v>EXP</v>
      </c>
      <c r="X72" s="68">
        <f>IF(W$72="EXP",$AC132,IF(W72="LB",$AC133,$AC134))</f>
        <v>8112.0974545454555</v>
      </c>
      <c r="Y72" s="69">
        <f t="shared" si="24"/>
        <v>8112.0974545454555</v>
      </c>
      <c r="Z72" s="70" t="str">
        <f t="shared" si="24"/>
        <v>UB</v>
      </c>
      <c r="AA72" s="68">
        <f>IF(Z$72="EXP",$AC132,IF(Z72="LB",$AC133,$AC134))</f>
        <v>8340.2130225292603</v>
      </c>
      <c r="AB72" s="71">
        <f t="shared" si="25"/>
        <v>8340.2130225292603</v>
      </c>
      <c r="AC72" s="67" t="str">
        <f>AM103</f>
        <v>LB</v>
      </c>
      <c r="AD72" s="68">
        <f>IF(AC$72="EXP",$AC132,IF(AC72="LB",$AC133,$AC134))</f>
        <v>7883.9818865616489</v>
      </c>
      <c r="AE72" s="71">
        <f t="shared" si="26"/>
        <v>7883.9818865616489</v>
      </c>
    </row>
    <row r="73" spans="2:39">
      <c r="B73" s="54">
        <v>19</v>
      </c>
      <c r="C73" s="47">
        <v>2027</v>
      </c>
      <c r="D73" s="55" t="s">
        <v>39</v>
      </c>
      <c r="E73" s="56"/>
      <c r="F73" s="57">
        <f>_xlfn.FORECAST.ETS($B44,F26:F37,$B$26:$B$37,1,1,1)</f>
        <v>9974.0107904100059</v>
      </c>
      <c r="G73" s="57">
        <f>_xlfn.FORECAST.ETS($B44,G26:G35,$B$26:$B$35,1,1,1)</f>
        <v>9722.415483659297</v>
      </c>
      <c r="H73" s="57">
        <f>_xlfn.FORECAST.ETS($B44,H26:H37,$B$26:$B$37,1,1,1)</f>
        <v>9785.2871752217343</v>
      </c>
      <c r="I73" s="57">
        <f>_xlfn.FORECAST.ETS($B44,I26:I37,$B$26:$B$37,1,1,1)</f>
        <v>9942.688691443167</v>
      </c>
      <c r="J73" s="56"/>
      <c r="K73" s="56"/>
      <c r="L73" s="56"/>
      <c r="M73" s="58"/>
      <c r="N73"/>
      <c r="P73" s="63"/>
      <c r="Q73" s="63"/>
      <c r="R73" s="63"/>
      <c r="U73" s="7" t="s">
        <v>97</v>
      </c>
      <c r="V73" s="60" t="s">
        <v>100</v>
      </c>
      <c r="W73" s="67" t="str">
        <f>W104</f>
        <v>EXP</v>
      </c>
      <c r="X73" s="68">
        <f>IF(W$73="EXP",$AC135,IF(W73="LB",$AC136,$AC137))</f>
        <v>2134.8865454545448</v>
      </c>
      <c r="Y73" s="69">
        <f t="shared" si="24"/>
        <v>2134.8865454545448</v>
      </c>
      <c r="Z73" s="70" t="str">
        <f t="shared" si="24"/>
        <v>UB</v>
      </c>
      <c r="AA73" s="68">
        <f>IF(Z$73="EXP",$AC135,IF(Z73="LB",$AC136,$AC137))</f>
        <v>2275.1175808760177</v>
      </c>
      <c r="AB73" s="71">
        <f t="shared" si="25"/>
        <v>2275.1175808760177</v>
      </c>
      <c r="AC73" s="67" t="str">
        <f>AM104</f>
        <v>LB</v>
      </c>
      <c r="AD73" s="68">
        <f>IF(AC$73="EXP",$AC135,IF(AC73="LB",$AC136,$AC137))</f>
        <v>1994.655510033072</v>
      </c>
      <c r="AE73" s="71">
        <f>AT104</f>
        <v>1994.655510033072</v>
      </c>
      <c r="AH73" s="7"/>
      <c r="AI73" s="60"/>
      <c r="AK73" s="24"/>
      <c r="AL73" s="24"/>
      <c r="AM73" s="24"/>
    </row>
    <row r="74" spans="2:39" ht="16.2" thickBot="1">
      <c r="N74"/>
      <c r="P74" s="63"/>
      <c r="Q74" s="63"/>
      <c r="R74" s="63"/>
      <c r="U74" s="7"/>
      <c r="V74" s="60" t="s">
        <v>96</v>
      </c>
      <c r="W74" s="67"/>
      <c r="X74" s="72">
        <f>SUM(X71:X73)</f>
        <v>38405.989275033178</v>
      </c>
      <c r="Y74" s="72">
        <f>SUM(Y71:Y73)</f>
        <v>38405.989275033178</v>
      </c>
      <c r="Z74" s="7"/>
      <c r="AA74" s="72">
        <f>SUM(AA71:AA73)</f>
        <v>39305.362397511228</v>
      </c>
      <c r="AB74" s="72">
        <f>SUM(AB71:AB73)</f>
        <v>39305.362397511228</v>
      </c>
      <c r="AC74" s="67"/>
      <c r="AD74" s="72">
        <f>SUM(AD71:AD73)</f>
        <v>37506.616152555129</v>
      </c>
      <c r="AE74" s="72">
        <f>SUM(AE71:AE73)</f>
        <v>37506.616152555129</v>
      </c>
      <c r="AH74" s="7"/>
      <c r="AI74" s="60"/>
      <c r="AK74" s="24"/>
      <c r="AL74" s="24"/>
      <c r="AM74" s="24"/>
    </row>
    <row r="75" spans="2:39">
      <c r="N75" s="60"/>
      <c r="P75" s="63"/>
      <c r="Q75" s="63"/>
      <c r="R75" s="63"/>
      <c r="U75" s="7"/>
      <c r="V75" s="60"/>
      <c r="W75" s="67"/>
      <c r="X75" s="68"/>
      <c r="Y75" s="69"/>
      <c r="Z75" s="70"/>
      <c r="AA75" s="68"/>
      <c r="AB75" s="71"/>
      <c r="AC75" s="67"/>
      <c r="AD75" s="68"/>
      <c r="AE75" s="71"/>
      <c r="AH75" s="7"/>
      <c r="AI75" s="60"/>
      <c r="AK75" s="24"/>
      <c r="AL75" s="24"/>
      <c r="AM75" s="24"/>
    </row>
    <row r="76" spans="2:39">
      <c r="N76"/>
      <c r="P76" s="63"/>
      <c r="Q76" s="63"/>
      <c r="R76" s="63"/>
      <c r="U76" s="7" t="s">
        <v>101</v>
      </c>
      <c r="V76" s="60" t="s">
        <v>102</v>
      </c>
      <c r="W76" s="67" t="str">
        <f>W107</f>
        <v>EXP</v>
      </c>
      <c r="X76" s="68">
        <f>IF(W76="EXP",$AC138,IF(W76="LB",$AC139,$AC140))</f>
        <v>31920.564785583188</v>
      </c>
      <c r="Y76" s="69">
        <f t="shared" ref="Y76:Z78" si="27">AD107</f>
        <v>31920.564785583188</v>
      </c>
      <c r="Z76" s="70" t="str">
        <f t="shared" si="27"/>
        <v>UB</v>
      </c>
      <c r="AA76" s="68">
        <f>IF(Z76="EXP",$AC138,IF(Z76="LB",$AC139,$AC140))</f>
        <v>32702.421779947494</v>
      </c>
      <c r="AB76" s="71">
        <f t="shared" ref="AB76:AC78" si="28">AL107</f>
        <v>32702.421779947494</v>
      </c>
      <c r="AC76" s="67" t="str">
        <f t="shared" si="28"/>
        <v>LB</v>
      </c>
      <c r="AD76" s="68">
        <f>IF(AC76="EXP",$AC138,IF(AC76="LB",$AC139,$AC140))</f>
        <v>31138.707791218876</v>
      </c>
      <c r="AE76" s="71">
        <f>AT107</f>
        <v>31138.707791218876</v>
      </c>
      <c r="AK76" s="24"/>
      <c r="AL76" s="24"/>
      <c r="AM76" s="24"/>
    </row>
    <row r="77" spans="2:39">
      <c r="E77" s="23"/>
      <c r="F77" s="24"/>
      <c r="G77" s="24"/>
      <c r="H77" s="24"/>
      <c r="I77" s="24"/>
      <c r="N77"/>
      <c r="P77" s="63"/>
      <c r="Q77" s="63"/>
      <c r="R77" s="63"/>
      <c r="U77" s="7" t="s">
        <v>101</v>
      </c>
      <c r="V77" s="60" t="s">
        <v>103</v>
      </c>
      <c r="W77" s="67" t="str">
        <f>W108</f>
        <v>EXP</v>
      </c>
      <c r="X77" s="68">
        <f>IF(W77="EXP",$AC141,IF(W77="LB",$AC142,$AC143))</f>
        <v>4369.5453019875213</v>
      </c>
      <c r="Y77" s="69">
        <f t="shared" si="27"/>
        <v>4369.5453019875213</v>
      </c>
      <c r="Z77" s="70" t="str">
        <f t="shared" si="27"/>
        <v>UB</v>
      </c>
      <c r="AA77" s="68">
        <f>IF(Z77="EXP",$AC141,IF(Z77="LB",$AC142,$AC143))</f>
        <v>4543.2999010059375</v>
      </c>
      <c r="AB77" s="71">
        <f t="shared" si="28"/>
        <v>4543.2999010059375</v>
      </c>
      <c r="AC77" s="67" t="str">
        <f t="shared" si="28"/>
        <v>LB</v>
      </c>
      <c r="AD77" s="68">
        <f>IF(AC77="EXP",$AC141,IF(AC77="LB",$AC142,$AC143))</f>
        <v>4195.7907029691041</v>
      </c>
      <c r="AE77" s="71">
        <f>AT108</f>
        <v>4195.7907029691041</v>
      </c>
      <c r="AK77" s="24"/>
      <c r="AL77" s="24"/>
      <c r="AM77" s="24"/>
    </row>
    <row r="78" spans="2:39">
      <c r="E78" s="23"/>
      <c r="F78" s="24"/>
      <c r="G78" s="24"/>
      <c r="H78" s="24"/>
      <c r="I78" s="24"/>
      <c r="N78" s="60"/>
      <c r="P78" s="63"/>
      <c r="Q78" s="63"/>
      <c r="R78" s="63"/>
      <c r="U78" s="7" t="s">
        <v>101</v>
      </c>
      <c r="V78" s="60" t="s">
        <v>104</v>
      </c>
      <c r="W78" s="67" t="str">
        <f>W109</f>
        <v>EXP</v>
      </c>
      <c r="X78" s="68">
        <f>IF(W78="EXP",$AC144,IF(W78="LB",$AC145,$AC146))</f>
        <v>2242.5894545454548</v>
      </c>
      <c r="Y78" s="69">
        <f t="shared" si="27"/>
        <v>2242.5894545454548</v>
      </c>
      <c r="Z78" s="70" t="str">
        <f t="shared" si="27"/>
        <v>UB</v>
      </c>
      <c r="AA78" s="68">
        <f>IF(Z78="EXP",$AC144,IF(Z78="LB",$AC145,$AC146))</f>
        <v>2365.7204851845895</v>
      </c>
      <c r="AB78" s="71">
        <f t="shared" si="28"/>
        <v>2365.7204851845895</v>
      </c>
      <c r="AC78" s="67" t="str">
        <f t="shared" si="28"/>
        <v>LB</v>
      </c>
      <c r="AD78" s="68">
        <f>IF(AC78="EXP",$AC144,IF(AC78="LB",$AC145,$AC146))</f>
        <v>2119.4584239063206</v>
      </c>
      <c r="AE78" s="71">
        <f>AT109</f>
        <v>2119.4584239063206</v>
      </c>
    </row>
    <row r="79" spans="2:39" ht="16.2" thickBot="1">
      <c r="D79" s="73" t="s">
        <v>105</v>
      </c>
      <c r="E79" s="23"/>
      <c r="F79" s="22">
        <f>E37</f>
        <v>9915.1</v>
      </c>
      <c r="G79" s="22">
        <f>F79</f>
        <v>9915.1</v>
      </c>
      <c r="H79" s="22">
        <f>F79</f>
        <v>9915.1</v>
      </c>
      <c r="I79" s="22">
        <f>F79</f>
        <v>9915.1</v>
      </c>
      <c r="J79" s="22">
        <f>G79</f>
        <v>9915.1</v>
      </c>
      <c r="K79" s="8"/>
      <c r="N79"/>
      <c r="P79" s="63"/>
      <c r="Q79" s="63"/>
      <c r="R79" s="63"/>
      <c r="U79" s="7"/>
      <c r="V79" s="60" t="s">
        <v>96</v>
      </c>
      <c r="W79" s="67"/>
      <c r="X79" s="72">
        <f>SUM(X76:X78)</f>
        <v>38532.69954211617</v>
      </c>
      <c r="Y79" s="72">
        <f>SUM(Y76:Y78)</f>
        <v>38532.69954211617</v>
      </c>
      <c r="Z79" s="7"/>
      <c r="AA79" s="72">
        <f>SUM(AA76:AA78)</f>
        <v>39611.442166138018</v>
      </c>
      <c r="AB79" s="72">
        <f>SUM(AB76:AB78)</f>
        <v>39611.442166138018</v>
      </c>
      <c r="AC79" s="67"/>
      <c r="AD79" s="72">
        <f>SUM(AD76:AD78)</f>
        <v>37453.9569180943</v>
      </c>
      <c r="AE79" s="72">
        <f>SUM(AE76:AE78)</f>
        <v>37453.9569180943</v>
      </c>
    </row>
    <row r="80" spans="2:39">
      <c r="D80" s="73" t="s">
        <v>54</v>
      </c>
      <c r="E80" s="23" t="s">
        <v>106</v>
      </c>
      <c r="F80" s="22">
        <f>F79+F55+F58+F61</f>
        <v>39064.073743823938</v>
      </c>
      <c r="G80" s="22">
        <f t="shared" ref="G80:I80" si="29">G79+G55+G58+G61</f>
        <v>38515.679085144293</v>
      </c>
      <c r="H80" s="22">
        <f t="shared" si="29"/>
        <v>38525.07960709677</v>
      </c>
      <c r="I80" s="22">
        <f t="shared" si="29"/>
        <v>38296.355180967708</v>
      </c>
      <c r="J80" s="22">
        <f>J38+J39+J40+F79</f>
        <v>38789.072379110679</v>
      </c>
      <c r="K80" s="24"/>
      <c r="L80" s="24"/>
      <c r="M80" s="24"/>
      <c r="N80"/>
      <c r="P80" s="63"/>
      <c r="Q80" s="63"/>
      <c r="R80" s="63"/>
    </row>
    <row r="81" spans="1:46">
      <c r="D81" s="7"/>
      <c r="E81" s="23" t="s">
        <v>33</v>
      </c>
      <c r="F81" s="22">
        <f>F79+F53+F56+F59</f>
        <v>37623.001324567907</v>
      </c>
      <c r="G81" s="22">
        <f t="shared" ref="G81:I81" si="30">G79+G53+G56+G59</f>
        <v>37535.010095320555</v>
      </c>
      <c r="H81" s="22">
        <f t="shared" si="30"/>
        <v>36647.571784608503</v>
      </c>
      <c r="I81" s="22">
        <f t="shared" si="30"/>
        <v>36890.006881432149</v>
      </c>
      <c r="J81" s="22">
        <f>K39+K38+K40+F79</f>
        <v>36700.346738511158</v>
      </c>
      <c r="K81" s="24"/>
      <c r="L81" s="24"/>
      <c r="M81" s="24"/>
      <c r="N81" s="60"/>
      <c r="P81" s="63"/>
      <c r="Q81" s="63"/>
      <c r="R81" s="63"/>
    </row>
    <row r="82" spans="1:46">
      <c r="D82" s="7"/>
      <c r="E82" s="23" t="s">
        <v>34</v>
      </c>
      <c r="F82" s="22">
        <f>F79+F54+F57+F60</f>
        <v>40505.146163079968</v>
      </c>
      <c r="G82" s="22">
        <f t="shared" ref="G82:I82" si="31">G79+G54+G57+G60</f>
        <v>39496.348074968046</v>
      </c>
      <c r="H82" s="22">
        <f t="shared" si="31"/>
        <v>40402.587429585037</v>
      </c>
      <c r="I82" s="22">
        <f t="shared" si="31"/>
        <v>39702.703480503267</v>
      </c>
      <c r="J82" s="22">
        <f>L38+L39+L40+F79</f>
        <v>40877.798019710201</v>
      </c>
      <c r="K82" s="24"/>
      <c r="L82" s="24"/>
      <c r="M82" s="24"/>
      <c r="N82"/>
      <c r="P82" s="63"/>
      <c r="Q82" s="63"/>
      <c r="R82" s="63"/>
      <c r="U82" s="6" t="s">
        <v>107</v>
      </c>
      <c r="V82" s="6" t="s">
        <v>52</v>
      </c>
      <c r="W82" s="24">
        <f>SUM(N114:N117)</f>
        <v>36176</v>
      </c>
    </row>
    <row r="83" spans="1:46">
      <c r="D83" s="7"/>
      <c r="E83" s="23"/>
      <c r="F83" s="22"/>
      <c r="G83" s="22"/>
      <c r="H83" s="22"/>
      <c r="I83" s="22"/>
      <c r="J83" s="22"/>
      <c r="N83" s="41"/>
      <c r="P83" s="63"/>
      <c r="Q83" s="63"/>
      <c r="R83" s="63"/>
      <c r="U83" s="6" t="s">
        <v>108</v>
      </c>
      <c r="V83" s="6" t="s">
        <v>54</v>
      </c>
      <c r="Y83" s="24">
        <f>MAX(X69,X74,X79)</f>
        <v>38628.138983715078</v>
      </c>
      <c r="AB83" s="24">
        <f>MAX(AA69,AA74,AA79)</f>
        <v>39756.303772629253</v>
      </c>
      <c r="AE83" s="24">
        <f>MIN(AD69,AD74,AD79)</f>
        <v>37453.9569180943</v>
      </c>
    </row>
    <row r="84" spans="1:46">
      <c r="F84" s="22">
        <v>0</v>
      </c>
      <c r="G84" s="22">
        <f>F84</f>
        <v>0</v>
      </c>
      <c r="H84" s="22">
        <f>F84</f>
        <v>0</v>
      </c>
      <c r="I84" s="22">
        <f>F84</f>
        <v>0</v>
      </c>
      <c r="J84" s="22">
        <f>G84</f>
        <v>0</v>
      </c>
      <c r="K84" s="8"/>
      <c r="N84" s="60"/>
      <c r="P84" s="63"/>
      <c r="Q84" s="63"/>
      <c r="R84" s="63"/>
      <c r="U84" s="6" t="s">
        <v>109</v>
      </c>
      <c r="V84" s="6" t="s">
        <v>54</v>
      </c>
      <c r="Y84" s="74">
        <f>MAX(Y69,Y74,Y79)</f>
        <v>38628.138983715078</v>
      </c>
      <c r="AB84" s="74">
        <f>MAX(AB69,AB74,AB79)</f>
        <v>39756.303772629253</v>
      </c>
      <c r="AE84" s="74">
        <f>MIN(AE69,AE74,AE79)</f>
        <v>37453.9569180943</v>
      </c>
    </row>
    <row r="85" spans="1:46">
      <c r="D85" s="73" t="s">
        <v>110</v>
      </c>
      <c r="E85" s="23" t="s">
        <v>106</v>
      </c>
      <c r="F85" s="22">
        <f>F73+F70+F67+F64</f>
        <v>39586.819710677584</v>
      </c>
      <c r="G85" s="22">
        <f t="shared" ref="G85:I85" si="32">G73+G70+G67+G64</f>
        <v>38662.994988303755</v>
      </c>
      <c r="H85" s="22">
        <f t="shared" si="32"/>
        <v>38842.795933459565</v>
      </c>
      <c r="I85" s="22">
        <f t="shared" si="32"/>
        <v>39192.030408427956</v>
      </c>
      <c r="J85" s="22">
        <f>J41+J42+J43+J44</f>
        <v>39321.551700387914</v>
      </c>
      <c r="K85" s="24"/>
      <c r="L85" s="24"/>
      <c r="M85" s="24"/>
      <c r="N85" s="6"/>
      <c r="P85" s="63"/>
      <c r="Q85" s="63"/>
      <c r="R85" s="63"/>
    </row>
    <row r="86" spans="1:46">
      <c r="D86" s="7"/>
      <c r="E86" s="23" t="s">
        <v>33</v>
      </c>
      <c r="F86" s="22">
        <f>F71+F68+F65+F62</f>
        <v>36462.137544219921</v>
      </c>
      <c r="G86" s="22">
        <f t="shared" ref="G86:I87" si="33">G71+G68+G65+G62</f>
        <v>36935.597702665575</v>
      </c>
      <c r="H86" s="22">
        <f t="shared" si="33"/>
        <v>35043.853024422497</v>
      </c>
      <c r="I86" s="22">
        <f t="shared" si="33"/>
        <v>33709.547378229508</v>
      </c>
      <c r="J86" s="22">
        <f>K41+K42+K43+K44</f>
        <v>36457.529598568282</v>
      </c>
      <c r="K86" s="24"/>
      <c r="L86" s="24"/>
      <c r="M86" s="24"/>
      <c r="N86" s="6"/>
      <c r="P86" s="63"/>
      <c r="Q86" s="63"/>
      <c r="R86" s="63"/>
      <c r="V86" s="10" t="s">
        <v>111</v>
      </c>
      <c r="W86" s="10"/>
      <c r="Y86" s="75">
        <f>(Y84-W82)/ABS(W82)</f>
        <v>6.7783585352583983E-2</v>
      </c>
      <c r="Z86" s="10"/>
      <c r="AB86" s="75">
        <f>(AB84-W82)/ABS(W82)</f>
        <v>9.8969033962551231E-2</v>
      </c>
      <c r="AC86" s="10"/>
      <c r="AE86" s="75">
        <f>(AE84-W82)/ABS(W82)</f>
        <v>3.5326097912823415E-2</v>
      </c>
    </row>
    <row r="87" spans="1:46">
      <c r="D87" s="7"/>
      <c r="E87" s="23" t="s">
        <v>34</v>
      </c>
      <c r="F87" s="22">
        <f>F72+F69+F66+F63</f>
        <v>42711.501877135262</v>
      </c>
      <c r="G87" s="22">
        <f t="shared" si="33"/>
        <v>40390.392273941921</v>
      </c>
      <c r="H87" s="22">
        <f t="shared" si="33"/>
        <v>42641.738842496627</v>
      </c>
      <c r="I87" s="22">
        <f t="shared" si="33"/>
        <v>44674.513438626389</v>
      </c>
      <c r="J87" s="22">
        <f>L41+L42+L43+L44</f>
        <v>42185.573802207553</v>
      </c>
      <c r="K87" s="24"/>
      <c r="L87" s="24"/>
      <c r="M87" s="24"/>
      <c r="N87" s="6"/>
      <c r="P87" s="24"/>
      <c r="Q87" s="24"/>
      <c r="R87" s="24"/>
    </row>
    <row r="88" spans="1:46">
      <c r="P88" s="24"/>
    </row>
    <row r="89" spans="1:46">
      <c r="P89" s="24"/>
      <c r="Y89" s="76" t="s">
        <v>112</v>
      </c>
      <c r="AB89" s="77" t="s">
        <v>112</v>
      </c>
      <c r="AE89" s="21" t="s">
        <v>112</v>
      </c>
    </row>
    <row r="90" spans="1:46">
      <c r="A90" s="15" t="s">
        <v>113</v>
      </c>
      <c r="B90" s="10" t="s">
        <v>114</v>
      </c>
      <c r="C90" s="15" t="s">
        <v>15</v>
      </c>
      <c r="D90" s="15" t="s">
        <v>10</v>
      </c>
      <c r="E90" s="15" t="s">
        <v>102</v>
      </c>
      <c r="F90" s="15" t="s">
        <v>103</v>
      </c>
      <c r="G90" s="15" t="s">
        <v>104</v>
      </c>
      <c r="H90" s="15" t="s">
        <v>98</v>
      </c>
      <c r="I90" s="15" t="s">
        <v>99</v>
      </c>
      <c r="J90" s="15" t="s">
        <v>100</v>
      </c>
      <c r="K90" s="15" t="s">
        <v>93</v>
      </c>
      <c r="L90" s="15" t="s">
        <v>94</v>
      </c>
      <c r="M90" s="15" t="s">
        <v>95</v>
      </c>
      <c r="N90" s="15" t="s">
        <v>10</v>
      </c>
      <c r="O90" s="15"/>
      <c r="Y90" s="76" t="s">
        <v>115</v>
      </c>
      <c r="AB90" s="77" t="s">
        <v>115</v>
      </c>
      <c r="AE90" s="21" t="s">
        <v>115</v>
      </c>
    </row>
    <row r="91" spans="1:46">
      <c r="A91" s="7" t="s">
        <v>92</v>
      </c>
      <c r="B91" s="60" t="s">
        <v>93</v>
      </c>
      <c r="C91" s="7">
        <v>2018</v>
      </c>
      <c r="D91" s="7" t="s">
        <v>35</v>
      </c>
      <c r="E91" s="24">
        <v>4828</v>
      </c>
      <c r="F91" s="24">
        <v>625.6</v>
      </c>
      <c r="G91" s="24">
        <v>578.20000000000005</v>
      </c>
      <c r="H91" s="24">
        <v>3996.3</v>
      </c>
      <c r="I91" s="24">
        <v>1186.4000000000001</v>
      </c>
      <c r="J91" s="24">
        <v>849.09999999999945</v>
      </c>
      <c r="K91" s="24">
        <v>3519.8</v>
      </c>
      <c r="L91" s="24">
        <v>1067.0999999999999</v>
      </c>
      <c r="M91" s="24">
        <v>1444.9</v>
      </c>
      <c r="N91" s="24">
        <v>6031.8</v>
      </c>
      <c r="O91" s="24"/>
      <c r="P91" s="10"/>
      <c r="Q91" s="10"/>
      <c r="R91" s="10"/>
    </row>
    <row r="92" spans="1:46">
      <c r="A92" s="7" t="s">
        <v>92</v>
      </c>
      <c r="B92" s="60" t="s">
        <v>94</v>
      </c>
      <c r="C92" s="7">
        <v>2018</v>
      </c>
      <c r="D92" s="7" t="s">
        <v>37</v>
      </c>
      <c r="E92" s="24">
        <v>5060.3999999999996</v>
      </c>
      <c r="F92" s="24">
        <v>660.6</v>
      </c>
      <c r="G92" s="24">
        <v>589.29999999999995</v>
      </c>
      <c r="H92" s="24">
        <v>4224</v>
      </c>
      <c r="I92" s="24">
        <v>1229</v>
      </c>
      <c r="J92" s="24">
        <v>857.30000000000018</v>
      </c>
      <c r="K92" s="24">
        <v>3766.2</v>
      </c>
      <c r="L92" s="24">
        <v>1132.5999999999999</v>
      </c>
      <c r="M92" s="24">
        <v>1411.5</v>
      </c>
      <c r="N92" s="24">
        <v>6310.3</v>
      </c>
      <c r="O92" s="24"/>
      <c r="P92" s="24"/>
      <c r="Q92" s="37"/>
      <c r="R92" s="24"/>
      <c r="T92" s="10" t="s">
        <v>116</v>
      </c>
      <c r="U92" s="78" t="s">
        <v>117</v>
      </c>
    </row>
    <row r="93" spans="1:46">
      <c r="A93" s="7" t="s">
        <v>92</v>
      </c>
      <c r="B93" s="60" t="s">
        <v>95</v>
      </c>
      <c r="C93" s="7">
        <v>2018</v>
      </c>
      <c r="D93" s="7" t="s">
        <v>39</v>
      </c>
      <c r="E93" s="24">
        <v>5060.1000000000004</v>
      </c>
      <c r="F93" s="24">
        <v>683.59999999999991</v>
      </c>
      <c r="G93" s="24">
        <v>560</v>
      </c>
      <c r="H93" s="24">
        <v>4270.6999999999971</v>
      </c>
      <c r="I93" s="24">
        <v>2292.0999999999995</v>
      </c>
      <c r="J93" s="24">
        <v>-259.09999999999582</v>
      </c>
      <c r="K93" s="24">
        <v>3759.1000000000004</v>
      </c>
      <c r="L93" s="24">
        <v>1154.2999999999997</v>
      </c>
      <c r="M93" s="24">
        <v>1389.5999999999995</v>
      </c>
      <c r="N93" s="24">
        <v>6303.6</v>
      </c>
      <c r="O93" s="24"/>
      <c r="P93" s="24"/>
      <c r="Q93" s="37"/>
      <c r="R93" s="24"/>
      <c r="U93" s="6" t="s">
        <v>83</v>
      </c>
      <c r="W93" s="79" t="s">
        <v>84</v>
      </c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</row>
    <row r="94" spans="1:46">
      <c r="A94" s="7" t="s">
        <v>97</v>
      </c>
      <c r="B94" s="60" t="s">
        <v>98</v>
      </c>
      <c r="C94" s="7">
        <v>2018</v>
      </c>
      <c r="D94" s="7" t="s">
        <v>41</v>
      </c>
      <c r="E94" s="24">
        <v>5370.3</v>
      </c>
      <c r="F94" s="24">
        <v>737.1</v>
      </c>
      <c r="G94" s="24">
        <v>525.29999999999995</v>
      </c>
      <c r="H94" s="24">
        <v>4612.5</v>
      </c>
      <c r="I94" s="24">
        <v>1504</v>
      </c>
      <c r="J94" s="24">
        <v>516.19999999999982</v>
      </c>
      <c r="K94" s="24">
        <v>3926</v>
      </c>
      <c r="L94" s="24">
        <v>1188.9000000000001</v>
      </c>
      <c r="M94" s="24">
        <v>1517.8</v>
      </c>
      <c r="N94" s="81">
        <v>6632.7</v>
      </c>
      <c r="O94" s="24"/>
      <c r="P94" s="24"/>
      <c r="Q94" s="37"/>
      <c r="R94" s="24"/>
      <c r="W94" s="64" t="s">
        <v>86</v>
      </c>
      <c r="X94" s="64" t="s">
        <v>118</v>
      </c>
      <c r="Y94" s="64" t="s">
        <v>119</v>
      </c>
      <c r="Z94" s="64" t="s">
        <v>120</v>
      </c>
      <c r="AA94" s="64" t="s">
        <v>121</v>
      </c>
      <c r="AB94" s="64" t="s">
        <v>122</v>
      </c>
      <c r="AC94" s="64" t="s">
        <v>123</v>
      </c>
      <c r="AD94" s="64" t="s">
        <v>124</v>
      </c>
      <c r="AE94" s="65" t="s">
        <v>89</v>
      </c>
      <c r="AF94" s="65" t="s">
        <v>118</v>
      </c>
      <c r="AG94" s="65" t="s">
        <v>119</v>
      </c>
      <c r="AH94" s="65" t="s">
        <v>125</v>
      </c>
      <c r="AI94" s="65" t="s">
        <v>121</v>
      </c>
      <c r="AJ94" s="65" t="s">
        <v>122</v>
      </c>
      <c r="AK94" s="65" t="s">
        <v>123</v>
      </c>
      <c r="AL94" s="65" t="s">
        <v>124</v>
      </c>
      <c r="AM94" s="66" t="s">
        <v>90</v>
      </c>
      <c r="AN94" s="66" t="s">
        <v>118</v>
      </c>
      <c r="AO94" s="66" t="s">
        <v>119</v>
      </c>
      <c r="AP94" s="66" t="s">
        <v>125</v>
      </c>
      <c r="AQ94" s="66" t="s">
        <v>121</v>
      </c>
      <c r="AR94" s="66" t="s">
        <v>122</v>
      </c>
      <c r="AS94" s="66" t="s">
        <v>123</v>
      </c>
      <c r="AT94" s="66" t="s">
        <v>88</v>
      </c>
    </row>
    <row r="95" spans="1:46">
      <c r="A95" s="7" t="s">
        <v>97</v>
      </c>
      <c r="B95" s="60" t="s">
        <v>99</v>
      </c>
      <c r="C95" s="7">
        <v>2019</v>
      </c>
      <c r="D95" s="7" t="s">
        <v>35</v>
      </c>
      <c r="E95" s="24">
        <v>5159</v>
      </c>
      <c r="F95" s="24">
        <v>678.2</v>
      </c>
      <c r="G95" s="24">
        <v>468.7</v>
      </c>
      <c r="H95" s="24">
        <v>4305.8999999999996</v>
      </c>
      <c r="I95" s="24">
        <v>1289.0999999999999</v>
      </c>
      <c r="J95" s="24">
        <v>710.89999999999964</v>
      </c>
      <c r="K95" s="24">
        <v>3760.4</v>
      </c>
      <c r="L95" s="24">
        <v>1157.9000000000001</v>
      </c>
      <c r="M95" s="24">
        <v>1387.6</v>
      </c>
      <c r="N95" s="81">
        <v>6305.9</v>
      </c>
      <c r="O95" s="81"/>
      <c r="P95" s="63"/>
      <c r="Q95" s="63"/>
      <c r="R95" s="63"/>
      <c r="W95" s="7" t="s">
        <v>126</v>
      </c>
      <c r="X95" s="7"/>
      <c r="Y95" s="7"/>
      <c r="Z95" s="82"/>
      <c r="AE95" s="7" t="s">
        <v>126</v>
      </c>
      <c r="AF95" s="7"/>
      <c r="AG95" s="7"/>
      <c r="AH95" s="82"/>
      <c r="AM95" s="7" t="s">
        <v>126</v>
      </c>
      <c r="AN95" s="7"/>
      <c r="AO95" s="7"/>
      <c r="AP95" s="82"/>
      <c r="AT95" s="6"/>
    </row>
    <row r="96" spans="1:46">
      <c r="A96" s="7" t="s">
        <v>97</v>
      </c>
      <c r="B96" s="60" t="s">
        <v>100</v>
      </c>
      <c r="C96" s="7">
        <v>2019</v>
      </c>
      <c r="D96" s="7" t="s">
        <v>37</v>
      </c>
      <c r="E96" s="24">
        <v>5535</v>
      </c>
      <c r="F96" s="24">
        <v>725</v>
      </c>
      <c r="G96" s="24">
        <v>563</v>
      </c>
      <c r="H96" s="24">
        <v>4671.8</v>
      </c>
      <c r="I96" s="24">
        <v>1336.9</v>
      </c>
      <c r="J96" s="24">
        <v>814.29999999999927</v>
      </c>
      <c r="K96" s="24">
        <v>4122.1000000000004</v>
      </c>
      <c r="L96" s="24">
        <v>1220.3</v>
      </c>
      <c r="M96" s="24">
        <v>1480.6</v>
      </c>
      <c r="N96" s="81">
        <v>6823</v>
      </c>
      <c r="O96" s="81"/>
      <c r="P96" s="63"/>
      <c r="Q96" s="63"/>
      <c r="R96" s="63"/>
      <c r="W96" s="83" t="s">
        <v>127</v>
      </c>
      <c r="Z96" s="84" t="s">
        <v>127</v>
      </c>
      <c r="AE96" s="83" t="s">
        <v>127</v>
      </c>
      <c r="AH96" s="84" t="s">
        <v>127</v>
      </c>
      <c r="AM96" s="83" t="s">
        <v>127</v>
      </c>
      <c r="AP96" s="84" t="s">
        <v>127</v>
      </c>
    </row>
    <row r="97" spans="1:46">
      <c r="A97" s="7" t="s">
        <v>101</v>
      </c>
      <c r="B97" s="60" t="s">
        <v>102</v>
      </c>
      <c r="C97" s="7">
        <v>2019</v>
      </c>
      <c r="D97" s="7" t="s">
        <v>39</v>
      </c>
      <c r="E97" s="24">
        <v>5480.1000000000022</v>
      </c>
      <c r="F97" s="24">
        <v>734.69999999999982</v>
      </c>
      <c r="G97" s="24">
        <v>532.19999999999982</v>
      </c>
      <c r="H97" s="24">
        <v>4668.7999999999993</v>
      </c>
      <c r="I97" s="24">
        <v>2060.6999999999998</v>
      </c>
      <c r="J97" s="24">
        <v>17.500000000000909</v>
      </c>
      <c r="K97" s="24">
        <v>4112.7000000000007</v>
      </c>
      <c r="L97" s="24">
        <v>769.19999999999982</v>
      </c>
      <c r="M97" s="24">
        <v>1865.1000000000004</v>
      </c>
      <c r="N97" s="81">
        <v>6747</v>
      </c>
      <c r="O97" s="81"/>
      <c r="P97" s="63"/>
      <c r="Q97" s="63"/>
      <c r="R97" s="63"/>
      <c r="U97" s="7" t="s">
        <v>92</v>
      </c>
      <c r="V97" s="60" t="s">
        <v>93</v>
      </c>
      <c r="W97" s="85" t="s">
        <v>50</v>
      </c>
      <c r="X97" s="86">
        <f>$AA120</f>
        <v>5944.2</v>
      </c>
      <c r="Y97" s="86">
        <f>AB120</f>
        <v>17361.940589646874</v>
      </c>
      <c r="Z97" s="67">
        <v>0</v>
      </c>
      <c r="AA97" s="68">
        <f>IF(W97="EXP",$AB120,IF(W97="LB",$AB121,$AB122))</f>
        <v>17361.940589646874</v>
      </c>
      <c r="AB97" s="86">
        <f>AA97*(1+Z97)</f>
        <v>17361.940589646874</v>
      </c>
      <c r="AC97" s="87">
        <f>(AB97-Y97)/ABS(Y97)</f>
        <v>0</v>
      </c>
      <c r="AD97" s="69">
        <f>AB97+X97</f>
        <v>23306.140589646875</v>
      </c>
      <c r="AE97" s="67" t="s">
        <v>34</v>
      </c>
      <c r="AF97" s="86">
        <f>$AA120</f>
        <v>5944.2</v>
      </c>
      <c r="AG97" s="86">
        <f>AB122</f>
        <v>17929.692224353857</v>
      </c>
      <c r="AH97" s="67">
        <v>0</v>
      </c>
      <c r="AI97" s="68">
        <f>IF(AE97="EXP",$AB120,IF(AE97="LB",$AB121,$AB122))</f>
        <v>17929.692224353857</v>
      </c>
      <c r="AJ97" s="86">
        <f>AI97*(1+AH97)</f>
        <v>17929.692224353857</v>
      </c>
      <c r="AK97" s="87">
        <f>(AJ97-AG97)/ABS(AG97)</f>
        <v>0</v>
      </c>
      <c r="AL97" s="69">
        <f>AJ97+AF97</f>
        <v>23873.892224353858</v>
      </c>
      <c r="AM97" s="67" t="s">
        <v>33</v>
      </c>
      <c r="AN97" s="86">
        <f>$AA120</f>
        <v>5944.2</v>
      </c>
      <c r="AO97" s="86">
        <f>AB121</f>
        <v>16794.188954939891</v>
      </c>
      <c r="AP97" s="67">
        <v>0</v>
      </c>
      <c r="AQ97" s="68">
        <f>IF(AM97="EXP",$AB120,IF(AM97="LB",$AB121,$AB122))</f>
        <v>16794.188954939891</v>
      </c>
      <c r="AR97" s="86">
        <f>AQ97*(1+AP97)</f>
        <v>16794.188954939891</v>
      </c>
      <c r="AS97" s="87">
        <f>(AR97-AO97)/ABS(AO97)</f>
        <v>0</v>
      </c>
      <c r="AT97" s="69">
        <f>AR97+AN97</f>
        <v>22738.388954939892</v>
      </c>
    </row>
    <row r="98" spans="1:46">
      <c r="A98" s="7" t="s">
        <v>101</v>
      </c>
      <c r="B98" s="60" t="s">
        <v>103</v>
      </c>
      <c r="C98" s="7">
        <v>2019</v>
      </c>
      <c r="D98" s="7" t="s">
        <v>41</v>
      </c>
      <c r="E98" s="24">
        <v>5780.7</v>
      </c>
      <c r="F98" s="24">
        <v>792</v>
      </c>
      <c r="G98" s="24">
        <v>524.4</v>
      </c>
      <c r="H98" s="24">
        <v>5010.8999999999996</v>
      </c>
      <c r="I98" s="24">
        <v>1571.1</v>
      </c>
      <c r="J98" s="24">
        <v>515.10000000000036</v>
      </c>
      <c r="K98" s="24">
        <v>4260.8999999999996</v>
      </c>
      <c r="L98" s="24">
        <v>1281.4000000000001</v>
      </c>
      <c r="M98" s="24">
        <v>1554.8</v>
      </c>
      <c r="N98" s="81">
        <v>7097.1</v>
      </c>
      <c r="O98" s="81"/>
      <c r="P98" s="63"/>
      <c r="Q98" s="63"/>
      <c r="R98" s="63"/>
      <c r="U98" s="7" t="s">
        <v>92</v>
      </c>
      <c r="V98" s="60" t="s">
        <v>94</v>
      </c>
      <c r="W98" s="85" t="s">
        <v>50</v>
      </c>
      <c r="X98" s="86">
        <f>$AA123</f>
        <v>1881.2</v>
      </c>
      <c r="Y98" s="86">
        <f>AB123</f>
        <v>5607.1676029841046</v>
      </c>
      <c r="Z98" s="67">
        <v>0</v>
      </c>
      <c r="AA98" s="68">
        <f>IF(W98="EXP",$AB123,IF(W98="LB",$AB124,$AB125))</f>
        <v>5607.1676029841046</v>
      </c>
      <c r="AB98" s="86">
        <f t="shared" ref="AB98:AB99" si="34">AA98*(1+Z98)</f>
        <v>5607.1676029841046</v>
      </c>
      <c r="AC98" s="87">
        <f t="shared" ref="AC98:AC100" si="35">(AB98-Y98)/ABS(Y98)</f>
        <v>0</v>
      </c>
      <c r="AD98" s="69">
        <f t="shared" ref="AD98:AD99" si="36">AB98+X98</f>
        <v>7488.3676029841045</v>
      </c>
      <c r="AE98" s="67" t="s">
        <v>34</v>
      </c>
      <c r="AF98" s="86">
        <f>$AA123</f>
        <v>1881.2</v>
      </c>
      <c r="AG98" s="86">
        <f>AB125</f>
        <v>5855.9266255108278</v>
      </c>
      <c r="AH98" s="67">
        <v>0</v>
      </c>
      <c r="AI98" s="68">
        <f>IF(AE98="EXP",$AB123,IF(AE98="LB",$AB124,$AB125))</f>
        <v>5855.9266255108278</v>
      </c>
      <c r="AJ98" s="86">
        <f t="shared" ref="AJ98:AJ99" si="37">AI98*(1+AH98)</f>
        <v>5855.9266255108278</v>
      </c>
      <c r="AK98" s="87">
        <f t="shared" ref="AK98:AK100" si="38">(AJ98-AG98)/ABS(AG98)</f>
        <v>0</v>
      </c>
      <c r="AL98" s="69">
        <f t="shared" ref="AL98:AL99" si="39">AJ98+AF98</f>
        <v>7737.1266255108276</v>
      </c>
      <c r="AM98" s="67" t="s">
        <v>33</v>
      </c>
      <c r="AN98" s="86">
        <f>$AA123</f>
        <v>1881.2</v>
      </c>
      <c r="AO98" s="86">
        <f>AB124</f>
        <v>5358.4085804573815</v>
      </c>
      <c r="AP98" s="67">
        <v>0</v>
      </c>
      <c r="AQ98" s="68">
        <f>IF(AM98="EXP",$AB123,IF(AM98="LB",$AB124,$AB125))</f>
        <v>5358.4085804573815</v>
      </c>
      <c r="AR98" s="86">
        <f t="shared" ref="AR98:AR99" si="40">AQ98*(1+AP98)</f>
        <v>5358.4085804573815</v>
      </c>
      <c r="AS98" s="87">
        <f t="shared" ref="AS98:AS100" si="41">(AR98-AO98)/ABS(AO98)</f>
        <v>0</v>
      </c>
      <c r="AT98" s="69">
        <f t="shared" ref="AT98:AT99" si="42">AR98+AN98</f>
        <v>7239.6085804573813</v>
      </c>
    </row>
    <row r="99" spans="1:46">
      <c r="A99" s="7" t="s">
        <v>101</v>
      </c>
      <c r="B99" s="60" t="s">
        <v>104</v>
      </c>
      <c r="C99" s="7">
        <v>2020</v>
      </c>
      <c r="D99" s="7" t="s">
        <v>35</v>
      </c>
      <c r="E99" s="24">
        <v>4766</v>
      </c>
      <c r="F99" s="24">
        <v>689.8</v>
      </c>
      <c r="G99" s="24">
        <v>539.9</v>
      </c>
      <c r="H99" s="24">
        <v>4330</v>
      </c>
      <c r="I99" s="24">
        <v>1134.5999999999999</v>
      </c>
      <c r="J99" s="24">
        <v>531.09999999999945</v>
      </c>
      <c r="K99" s="24">
        <v>3530.9</v>
      </c>
      <c r="L99" s="24">
        <v>968.7</v>
      </c>
      <c r="M99" s="24">
        <v>1496.1</v>
      </c>
      <c r="N99" s="81">
        <v>5995.7</v>
      </c>
      <c r="O99" s="81"/>
      <c r="P99" s="63"/>
      <c r="Q99" s="63"/>
      <c r="R99" s="63"/>
      <c r="U99" s="7" t="s">
        <v>92</v>
      </c>
      <c r="V99" s="60" t="s">
        <v>95</v>
      </c>
      <c r="W99" s="85" t="s">
        <v>50</v>
      </c>
      <c r="X99" s="86">
        <f>$AA126</f>
        <v>2089.6999999999998</v>
      </c>
      <c r="Y99" s="86">
        <f>AB126</f>
        <v>5743.9307910840953</v>
      </c>
      <c r="Z99" s="67">
        <v>0</v>
      </c>
      <c r="AA99" s="68">
        <f>IF(W99="EXP",$AB126,IF(W99="LB",$AB127,$AB128))</f>
        <v>5743.9307910840953</v>
      </c>
      <c r="AB99" s="86">
        <f t="shared" si="34"/>
        <v>5743.9307910840953</v>
      </c>
      <c r="AC99" s="87">
        <f t="shared" si="35"/>
        <v>0</v>
      </c>
      <c r="AD99" s="69">
        <f t="shared" si="36"/>
        <v>7833.6307910840951</v>
      </c>
      <c r="AE99" s="67" t="s">
        <v>34</v>
      </c>
      <c r="AF99" s="86">
        <f>$AA126</f>
        <v>2089.6999999999998</v>
      </c>
      <c r="AG99" s="86">
        <f>AB128</f>
        <v>6055.5849227645676</v>
      </c>
      <c r="AH99" s="67">
        <v>0</v>
      </c>
      <c r="AI99" s="68">
        <f>IF(AE99="EXP",$AB126,IF(AE99="LB",$AB127,$AB128))</f>
        <v>6055.5849227645676</v>
      </c>
      <c r="AJ99" s="86">
        <f t="shared" si="37"/>
        <v>6055.5849227645676</v>
      </c>
      <c r="AK99" s="87">
        <f t="shared" si="38"/>
        <v>0</v>
      </c>
      <c r="AL99" s="69">
        <f t="shared" si="39"/>
        <v>8145.2849227645675</v>
      </c>
      <c r="AM99" s="67" t="s">
        <v>33</v>
      </c>
      <c r="AN99" s="86">
        <f>$AA126</f>
        <v>2089.6999999999998</v>
      </c>
      <c r="AO99" s="86">
        <f>AB127</f>
        <v>5432.2766594036211</v>
      </c>
      <c r="AP99" s="67">
        <v>0</v>
      </c>
      <c r="AQ99" s="68">
        <f>IF(AM99="EXP",$AB126,IF(AM99="LB",$AB127,$AB128))</f>
        <v>5432.2766594036211</v>
      </c>
      <c r="AR99" s="86">
        <f t="shared" si="40"/>
        <v>5432.2766594036211</v>
      </c>
      <c r="AS99" s="87">
        <f t="shared" si="41"/>
        <v>0</v>
      </c>
      <c r="AT99" s="69">
        <f t="shared" si="42"/>
        <v>7521.9766594036209</v>
      </c>
    </row>
    <row r="100" spans="1:46" ht="16.2" thickBot="1">
      <c r="A100" s="7"/>
      <c r="B100" s="60" t="s">
        <v>10</v>
      </c>
      <c r="C100" s="7">
        <v>2020</v>
      </c>
      <c r="D100" s="7" t="s">
        <v>37</v>
      </c>
      <c r="E100" s="24">
        <v>3444.4</v>
      </c>
      <c r="F100" s="24">
        <v>300.5</v>
      </c>
      <c r="G100" s="24">
        <v>477.2</v>
      </c>
      <c r="H100" s="24">
        <v>2805.5</v>
      </c>
      <c r="I100" s="24">
        <v>949.6</v>
      </c>
      <c r="J100" s="24">
        <v>467.00000000000045</v>
      </c>
      <c r="K100" s="24">
        <v>2628.8</v>
      </c>
      <c r="L100" s="24">
        <v>629.20000000000005</v>
      </c>
      <c r="M100" s="24">
        <v>964.1</v>
      </c>
      <c r="N100" s="81">
        <v>4222.1000000000004</v>
      </c>
      <c r="O100" s="81"/>
      <c r="P100" s="63"/>
      <c r="Q100" s="63"/>
      <c r="R100" s="63"/>
      <c r="U100" s="7"/>
      <c r="V100" s="60" t="s">
        <v>96</v>
      </c>
      <c r="W100" s="85"/>
      <c r="X100" s="72">
        <f>SUM(X97:X99)</f>
        <v>9915.0999999999985</v>
      </c>
      <c r="Y100" s="72">
        <f>SUM(Y97:Y99)</f>
        <v>28713.038983715072</v>
      </c>
      <c r="Z100" s="88"/>
      <c r="AA100" s="72">
        <f>SUM(AA97:AA99)</f>
        <v>28713.038983715072</v>
      </c>
      <c r="AB100" s="72">
        <f>SUM(AB97:AB99)</f>
        <v>28713.038983715072</v>
      </c>
      <c r="AC100" s="87">
        <f t="shared" si="35"/>
        <v>0</v>
      </c>
      <c r="AD100" s="72">
        <f>SUM(AD97:AD99)</f>
        <v>38628.138983715078</v>
      </c>
      <c r="AE100" s="67"/>
      <c r="AF100" s="72">
        <f>SUM(AF97:AF99)</f>
        <v>9915.0999999999985</v>
      </c>
      <c r="AG100" s="72">
        <f>SUM(AG97:AG99)</f>
        <v>29841.203772629251</v>
      </c>
      <c r="AH100" s="88"/>
      <c r="AI100" s="72">
        <f>SUM(AI97:AI99)</f>
        <v>29841.203772629251</v>
      </c>
      <c r="AJ100" s="72">
        <f>SUM(AJ97:AJ99)</f>
        <v>29841.203772629251</v>
      </c>
      <c r="AK100" s="87">
        <f t="shared" si="38"/>
        <v>0</v>
      </c>
      <c r="AL100" s="72">
        <f>SUM(AL97:AL99)</f>
        <v>39756.303772629253</v>
      </c>
      <c r="AM100" s="71"/>
      <c r="AN100" s="72">
        <f>SUM(AN97:AN99)</f>
        <v>9915.0999999999985</v>
      </c>
      <c r="AO100" s="72">
        <f>SUM(AO97:AO99)</f>
        <v>27584.874194800894</v>
      </c>
      <c r="AP100" s="88"/>
      <c r="AQ100" s="72">
        <f>SUM(AQ97:AQ99)</f>
        <v>27584.874194800894</v>
      </c>
      <c r="AR100" s="72">
        <f>SUM(AR97:AR99)</f>
        <v>27584.874194800894</v>
      </c>
      <c r="AS100" s="87">
        <f t="shared" si="41"/>
        <v>0</v>
      </c>
      <c r="AT100" s="72">
        <f>SUM(AT97:AT99)</f>
        <v>37499.974194800896</v>
      </c>
    </row>
    <row r="101" spans="1:46">
      <c r="C101" s="7">
        <v>2020</v>
      </c>
      <c r="D101" s="7" t="s">
        <v>39</v>
      </c>
      <c r="E101" s="24">
        <v>5173.4999999999982</v>
      </c>
      <c r="F101" s="24">
        <v>544.79999999999995</v>
      </c>
      <c r="G101" s="24">
        <v>484.79999999999995</v>
      </c>
      <c r="H101" s="24">
        <v>4149.8000000000011</v>
      </c>
      <c r="I101" s="24">
        <v>1575.3000000000006</v>
      </c>
      <c r="J101" s="24">
        <v>477.99999999999818</v>
      </c>
      <c r="K101" s="24">
        <v>3916.9000000000015</v>
      </c>
      <c r="L101" s="24">
        <v>919.89999999999964</v>
      </c>
      <c r="M101" s="24">
        <v>1366.3000000000006</v>
      </c>
      <c r="N101" s="81">
        <v>6203.1</v>
      </c>
      <c r="O101" s="81"/>
      <c r="P101" s="63"/>
      <c r="Q101" s="63"/>
      <c r="R101" s="63"/>
      <c r="U101" s="7"/>
      <c r="V101" s="60"/>
      <c r="W101" s="85"/>
      <c r="X101" s="86"/>
      <c r="Y101" s="86"/>
      <c r="Z101" s="67"/>
      <c r="AA101" s="68"/>
      <c r="AB101" s="68"/>
      <c r="AC101" s="68"/>
      <c r="AD101" s="69"/>
      <c r="AE101" s="67"/>
      <c r="AF101" s="86"/>
      <c r="AG101" s="86"/>
      <c r="AH101" s="67"/>
      <c r="AI101" s="68"/>
      <c r="AJ101" s="68"/>
      <c r="AK101" s="68"/>
      <c r="AL101" s="69"/>
      <c r="AM101" s="67"/>
      <c r="AN101" s="86"/>
      <c r="AO101" s="86"/>
      <c r="AP101" s="67"/>
      <c r="AQ101" s="68"/>
      <c r="AR101" s="68"/>
      <c r="AS101" s="68"/>
      <c r="AT101" s="69"/>
    </row>
    <row r="102" spans="1:46">
      <c r="C102" s="7">
        <v>2020</v>
      </c>
      <c r="D102" s="7" t="s">
        <v>41</v>
      </c>
      <c r="E102" s="24">
        <v>5726.5</v>
      </c>
      <c r="F102" s="24">
        <v>613.79999999999995</v>
      </c>
      <c r="G102" s="24">
        <v>409.1</v>
      </c>
      <c r="H102" s="24">
        <v>4675.6000000000004</v>
      </c>
      <c r="I102" s="24">
        <v>1681.9</v>
      </c>
      <c r="J102" s="24">
        <v>391.89999999999964</v>
      </c>
      <c r="K102" s="24">
        <v>4251.8999999999996</v>
      </c>
      <c r="L102" s="24">
        <v>1140.8</v>
      </c>
      <c r="M102" s="24">
        <v>1356.7</v>
      </c>
      <c r="N102" s="81">
        <v>6749.4</v>
      </c>
      <c r="O102" s="81"/>
      <c r="P102" s="63"/>
      <c r="Q102" s="63"/>
      <c r="R102" s="63"/>
      <c r="U102" s="7" t="s">
        <v>97</v>
      </c>
      <c r="V102" s="60" t="s">
        <v>98</v>
      </c>
      <c r="W102" s="85" t="s">
        <v>50</v>
      </c>
      <c r="X102" s="86">
        <f>$AA129</f>
        <v>7280.5</v>
      </c>
      <c r="Y102" s="86">
        <f>AB129</f>
        <v>20878.505275033174</v>
      </c>
      <c r="Z102" s="67">
        <v>0</v>
      </c>
      <c r="AA102" s="68">
        <f>IF(W102="EXP",$AB129,IF(W102="LB",$AB130,$AB131))</f>
        <v>20878.505275033174</v>
      </c>
      <c r="AB102" s="86">
        <f>AA102*(1+Z102)</f>
        <v>20878.505275033174</v>
      </c>
      <c r="AC102" s="87">
        <f>(AB102-Y102)/ABS(Y102)</f>
        <v>0</v>
      </c>
      <c r="AD102" s="69">
        <f>AB102+X102</f>
        <v>28159.005275033174</v>
      </c>
      <c r="AE102" s="67" t="s">
        <v>34</v>
      </c>
      <c r="AF102" s="86">
        <f>$AA129</f>
        <v>7280.5</v>
      </c>
      <c r="AG102" s="86">
        <f>AB131</f>
        <v>21409.531794105947</v>
      </c>
      <c r="AH102" s="67">
        <v>0</v>
      </c>
      <c r="AI102" s="68">
        <f>IF(AE102="EXP",$AB129,IF(AE102="LB",$AB130,$AB131))</f>
        <v>21409.531794105947</v>
      </c>
      <c r="AJ102" s="86">
        <f>AI102*(1+AH102)</f>
        <v>21409.531794105947</v>
      </c>
      <c r="AK102" s="87">
        <f>(AJ102-AG102)/ABS(AG102)</f>
        <v>0</v>
      </c>
      <c r="AL102" s="69">
        <f>AJ102+AF102</f>
        <v>28690.031794105947</v>
      </c>
      <c r="AM102" s="67" t="s">
        <v>33</v>
      </c>
      <c r="AN102" s="86">
        <f>$AA129</f>
        <v>7280.5</v>
      </c>
      <c r="AO102" s="86">
        <f>AB130</f>
        <v>20347.478755960405</v>
      </c>
      <c r="AP102" s="67">
        <v>0</v>
      </c>
      <c r="AQ102" s="68">
        <f>IF(AM102="EXP",$AB129,IF(AM102="LB",$AB130,$AB131))</f>
        <v>20347.478755960405</v>
      </c>
      <c r="AR102" s="86">
        <f>AQ102*(1+AP102)</f>
        <v>20347.478755960405</v>
      </c>
      <c r="AS102" s="87">
        <f>(AR102-AO102)/ABS(AO102)</f>
        <v>0</v>
      </c>
      <c r="AT102" s="69">
        <f>AR102+AN102</f>
        <v>27627.978755960405</v>
      </c>
    </row>
    <row r="103" spans="1:46">
      <c r="C103" s="7">
        <v>2021</v>
      </c>
      <c r="D103" s="7" t="s">
        <v>35</v>
      </c>
      <c r="E103" s="24">
        <v>5653.1</v>
      </c>
      <c r="F103" s="24">
        <v>595</v>
      </c>
      <c r="G103" s="24">
        <v>419.9</v>
      </c>
      <c r="H103" s="24">
        <v>4664.6000000000004</v>
      </c>
      <c r="I103" s="24">
        <v>1610.9</v>
      </c>
      <c r="J103" s="24">
        <v>392.5</v>
      </c>
      <c r="K103" s="24">
        <v>4212.8</v>
      </c>
      <c r="L103" s="24">
        <v>1131.4000000000001</v>
      </c>
      <c r="M103" s="24">
        <v>1323.8</v>
      </c>
      <c r="N103" s="81">
        <v>6668</v>
      </c>
      <c r="O103" s="81"/>
      <c r="P103" s="63"/>
      <c r="Q103" s="63"/>
      <c r="R103" s="63"/>
      <c r="U103" s="7" t="s">
        <v>97</v>
      </c>
      <c r="V103" s="60" t="s">
        <v>99</v>
      </c>
      <c r="W103" s="85" t="s">
        <v>50</v>
      </c>
      <c r="X103" s="86">
        <f>$AA132</f>
        <v>2064.9</v>
      </c>
      <c r="Y103" s="86">
        <f>AB132</f>
        <v>6047.1974545454559</v>
      </c>
      <c r="Z103" s="67">
        <v>0</v>
      </c>
      <c r="AA103" s="68">
        <f>IF(W103="EXP",$AB132,IF(W103="LB",$AB133,$AB134))</f>
        <v>6047.1974545454559</v>
      </c>
      <c r="AB103" s="86">
        <f t="shared" ref="AB103:AB104" si="43">AA103*(1+Z103)</f>
        <v>6047.1974545454559</v>
      </c>
      <c r="AC103" s="87">
        <f t="shared" ref="AC103:AC105" si="44">(AB103-Y103)/ABS(Y103)</f>
        <v>0</v>
      </c>
      <c r="AD103" s="69">
        <f t="shared" ref="AD103:AD104" si="45">AB103+X103</f>
        <v>8112.0974545454555</v>
      </c>
      <c r="AE103" s="67" t="s">
        <v>34</v>
      </c>
      <c r="AF103" s="86">
        <f>$AA132</f>
        <v>2064.9</v>
      </c>
      <c r="AG103" s="86">
        <f>AB134</f>
        <v>6275.3130225292607</v>
      </c>
      <c r="AH103" s="67">
        <v>0</v>
      </c>
      <c r="AI103" s="68">
        <f>IF(AE103="EXP",$AB132,IF(AE103="LB",$AB133,$AB134))</f>
        <v>6275.3130225292607</v>
      </c>
      <c r="AJ103" s="86">
        <f t="shared" ref="AJ103:AJ104" si="46">AI103*(1+AH103)</f>
        <v>6275.3130225292607</v>
      </c>
      <c r="AK103" s="87">
        <f t="shared" ref="AK103:AK105" si="47">(AJ103-AG103)/ABS(AG103)</f>
        <v>0</v>
      </c>
      <c r="AL103" s="69">
        <f t="shared" ref="AL103:AL104" si="48">AJ103+AF103</f>
        <v>8340.2130225292603</v>
      </c>
      <c r="AM103" s="67" t="s">
        <v>33</v>
      </c>
      <c r="AN103" s="86">
        <f>$AA132</f>
        <v>2064.9</v>
      </c>
      <c r="AO103" s="86">
        <f>AB133</f>
        <v>5819.0818865616493</v>
      </c>
      <c r="AP103" s="67">
        <v>0</v>
      </c>
      <c r="AQ103" s="68">
        <f>IF(AM103="EXP",$AB132,IF(AM103="LB",$AB133,$AB134))</f>
        <v>5819.0818865616493</v>
      </c>
      <c r="AR103" s="86">
        <f t="shared" ref="AR103:AR104" si="49">AQ103*(1+AP103)</f>
        <v>5819.0818865616493</v>
      </c>
      <c r="AS103" s="87">
        <f t="shared" ref="AS103:AS105" si="50">(AR103-AO103)/ABS(AO103)</f>
        <v>0</v>
      </c>
      <c r="AT103" s="69">
        <f t="shared" ref="AT103:AT104" si="51">AR103+AN103</f>
        <v>7883.9818865616489</v>
      </c>
    </row>
    <row r="104" spans="1:46">
      <c r="C104" s="7">
        <v>2021</v>
      </c>
      <c r="D104" s="7" t="s">
        <v>37</v>
      </c>
      <c r="E104" s="24">
        <v>6363.1</v>
      </c>
      <c r="F104" s="24">
        <v>680.2</v>
      </c>
      <c r="G104" s="24">
        <v>453.2</v>
      </c>
      <c r="H104" s="24">
        <v>5400.3</v>
      </c>
      <c r="I104" s="24">
        <v>1658.4</v>
      </c>
      <c r="J104" s="24">
        <v>437.79999999999927</v>
      </c>
      <c r="K104" s="24">
        <v>4753.1000000000004</v>
      </c>
      <c r="L104" s="24">
        <v>1311.2</v>
      </c>
      <c r="M104" s="24">
        <v>1432.2</v>
      </c>
      <c r="N104" s="81">
        <v>7496.5</v>
      </c>
      <c r="O104" s="81"/>
      <c r="P104" s="63"/>
      <c r="Q104" s="63"/>
      <c r="R104" s="63"/>
      <c r="U104" s="7" t="s">
        <v>97</v>
      </c>
      <c r="V104" s="60" t="s">
        <v>100</v>
      </c>
      <c r="W104" s="85" t="s">
        <v>50</v>
      </c>
      <c r="X104" s="86">
        <f>$AA135</f>
        <v>570</v>
      </c>
      <c r="Y104" s="86">
        <f>AB135</f>
        <v>1564.8865454545448</v>
      </c>
      <c r="Z104" s="88">
        <v>0</v>
      </c>
      <c r="AA104" s="68">
        <f>IF(W104="EXP",$AB135,IF(W104="LB",$AB136,$AB137))</f>
        <v>1564.8865454545448</v>
      </c>
      <c r="AB104" s="86">
        <f t="shared" si="43"/>
        <v>1564.8865454545448</v>
      </c>
      <c r="AC104" s="87">
        <f t="shared" si="44"/>
        <v>0</v>
      </c>
      <c r="AD104" s="69">
        <f t="shared" si="45"/>
        <v>2134.8865454545448</v>
      </c>
      <c r="AE104" s="67" t="s">
        <v>34</v>
      </c>
      <c r="AF104" s="86">
        <f>$AA135</f>
        <v>570</v>
      </c>
      <c r="AG104" s="86">
        <f>AB137</f>
        <v>1705.1175808760177</v>
      </c>
      <c r="AH104" s="88">
        <v>0</v>
      </c>
      <c r="AI104" s="68">
        <f>IF(AE104="EXP",$AB135,IF(AE104="LB",$AB136,$AB137))</f>
        <v>1705.1175808760177</v>
      </c>
      <c r="AJ104" s="86">
        <f t="shared" si="46"/>
        <v>1705.1175808760177</v>
      </c>
      <c r="AK104" s="87">
        <f t="shared" si="47"/>
        <v>0</v>
      </c>
      <c r="AL104" s="69">
        <f t="shared" si="48"/>
        <v>2275.1175808760177</v>
      </c>
      <c r="AM104" s="67" t="s">
        <v>33</v>
      </c>
      <c r="AN104" s="86">
        <f>$AA135</f>
        <v>570</v>
      </c>
      <c r="AO104" s="86">
        <f>AB136</f>
        <v>1424.655510033072</v>
      </c>
      <c r="AP104" s="88">
        <v>0</v>
      </c>
      <c r="AQ104" s="68">
        <f>IF(AM104="EXP",$AB135,IF(AM104="LB",$AB136,$AB137))</f>
        <v>1424.655510033072</v>
      </c>
      <c r="AR104" s="86">
        <f t="shared" si="49"/>
        <v>1424.655510033072</v>
      </c>
      <c r="AS104" s="87">
        <f t="shared" si="50"/>
        <v>0</v>
      </c>
      <c r="AT104" s="69">
        <f t="shared" si="51"/>
        <v>1994.655510033072</v>
      </c>
    </row>
    <row r="105" spans="1:46" ht="16.2" thickBot="1">
      <c r="C105" s="7">
        <v>2021</v>
      </c>
      <c r="D105" s="7" t="s">
        <v>39</v>
      </c>
      <c r="E105" s="24">
        <v>6864.2999999999993</v>
      </c>
      <c r="F105" s="24">
        <v>794.59999999999991</v>
      </c>
      <c r="G105" s="24">
        <v>487.79999999999995</v>
      </c>
      <c r="H105" s="24">
        <v>5707.4000000000015</v>
      </c>
      <c r="I105" s="24">
        <v>1970.3999999999996</v>
      </c>
      <c r="J105" s="24">
        <v>468.89999999999873</v>
      </c>
      <c r="K105" s="24">
        <v>5099.1999999999989</v>
      </c>
      <c r="L105" s="24">
        <v>1470</v>
      </c>
      <c r="M105" s="24">
        <v>1577.5</v>
      </c>
      <c r="N105" s="81">
        <v>8146.7</v>
      </c>
      <c r="O105" s="81"/>
      <c r="P105" s="63"/>
      <c r="Q105" s="63"/>
      <c r="R105" s="63"/>
      <c r="U105" s="7"/>
      <c r="V105" s="60" t="s">
        <v>96</v>
      </c>
      <c r="W105" s="85"/>
      <c r="X105" s="72">
        <f>SUM(X102:X104)</f>
        <v>9915.4</v>
      </c>
      <c r="Y105" s="72">
        <f>SUM(Y102:Y104)</f>
        <v>28490.589275033177</v>
      </c>
      <c r="Z105" s="88"/>
      <c r="AA105" s="72">
        <f>SUM(AA102:AA104)</f>
        <v>28490.589275033177</v>
      </c>
      <c r="AB105" s="72">
        <f>SUM(AB102:AB104)</f>
        <v>28490.589275033177</v>
      </c>
      <c r="AC105" s="87">
        <f t="shared" si="44"/>
        <v>0</v>
      </c>
      <c r="AD105" s="72">
        <f>SUM(AD102:AD104)</f>
        <v>38405.989275033178</v>
      </c>
      <c r="AE105" s="67"/>
      <c r="AF105" s="72">
        <f>SUM(AF102:AF104)</f>
        <v>9915.4</v>
      </c>
      <c r="AG105" s="72">
        <f>SUM(AG102:AG104)</f>
        <v>29389.962397511226</v>
      </c>
      <c r="AH105" s="88"/>
      <c r="AI105" s="72">
        <f>SUM(AI102:AI104)</f>
        <v>29389.962397511226</v>
      </c>
      <c r="AJ105" s="72">
        <f>SUM(AJ102:AJ104)</f>
        <v>29389.962397511226</v>
      </c>
      <c r="AK105" s="87">
        <f t="shared" si="47"/>
        <v>0</v>
      </c>
      <c r="AL105" s="72">
        <f>SUM(AL102:AL104)</f>
        <v>39305.362397511228</v>
      </c>
      <c r="AM105" s="71"/>
      <c r="AN105" s="72">
        <f>SUM(AN102:AN104)</f>
        <v>9915.4</v>
      </c>
      <c r="AO105" s="72">
        <f>SUM(AO102:AO104)</f>
        <v>27591.216152555127</v>
      </c>
      <c r="AP105" s="88"/>
      <c r="AQ105" s="72">
        <f>SUM(AQ102:AQ104)</f>
        <v>27591.216152555127</v>
      </c>
      <c r="AR105" s="72">
        <f>SUM(AR102:AR104)</f>
        <v>27591.216152555127</v>
      </c>
      <c r="AS105" s="87">
        <f t="shared" si="50"/>
        <v>0</v>
      </c>
      <c r="AT105" s="72">
        <f>SUM(AT102:AT104)</f>
        <v>37506.616152555129</v>
      </c>
    </row>
    <row r="106" spans="1:46">
      <c r="C106" s="7">
        <v>2021</v>
      </c>
      <c r="D106" s="7" t="s">
        <v>41</v>
      </c>
      <c r="E106" s="24">
        <v>6722.4</v>
      </c>
      <c r="F106" s="24">
        <v>850.8</v>
      </c>
      <c r="G106" s="24">
        <v>477.2</v>
      </c>
      <c r="H106" s="24">
        <v>5723.3</v>
      </c>
      <c r="I106" s="24">
        <v>1875.9</v>
      </c>
      <c r="J106" s="24">
        <v>451.19999999999891</v>
      </c>
      <c r="K106" s="24">
        <v>4898.3999999999996</v>
      </c>
      <c r="L106" s="24">
        <v>1434.6</v>
      </c>
      <c r="M106" s="24">
        <v>1717.4</v>
      </c>
      <c r="N106" s="81">
        <v>8050.4</v>
      </c>
      <c r="O106" s="81"/>
      <c r="P106" s="63"/>
      <c r="Q106" s="63"/>
      <c r="R106" s="63"/>
      <c r="U106" s="7"/>
      <c r="V106" s="60"/>
      <c r="W106" s="85"/>
      <c r="X106" s="86"/>
      <c r="Y106" s="86"/>
      <c r="Z106" s="88"/>
      <c r="AA106" s="68"/>
      <c r="AB106" s="68"/>
      <c r="AC106" s="68"/>
      <c r="AD106" s="69"/>
      <c r="AE106" s="67"/>
      <c r="AF106" s="86"/>
      <c r="AG106" s="86"/>
      <c r="AH106" s="88"/>
      <c r="AI106" s="68"/>
      <c r="AJ106" s="68"/>
      <c r="AK106" s="68"/>
      <c r="AL106" s="69"/>
      <c r="AM106" s="67"/>
      <c r="AN106" s="86"/>
      <c r="AO106" s="86"/>
      <c r="AP106" s="88"/>
      <c r="AQ106" s="68"/>
      <c r="AR106" s="68"/>
      <c r="AS106" s="68"/>
      <c r="AT106" s="69"/>
    </row>
    <row r="107" spans="1:46">
      <c r="C107" s="7">
        <v>2022</v>
      </c>
      <c r="D107" s="7" t="s">
        <v>35</v>
      </c>
      <c r="E107" s="24">
        <v>6276.7</v>
      </c>
      <c r="F107" s="24">
        <v>849.5</v>
      </c>
      <c r="G107" s="24">
        <v>509.4</v>
      </c>
      <c r="H107" s="24">
        <v>5445.7</v>
      </c>
      <c r="I107" s="24">
        <v>1702.4</v>
      </c>
      <c r="J107" s="24">
        <v>487.5</v>
      </c>
      <c r="K107" s="24">
        <v>4599</v>
      </c>
      <c r="L107" s="24">
        <v>1364.3</v>
      </c>
      <c r="M107" s="24">
        <v>1672.3</v>
      </c>
      <c r="N107" s="24">
        <v>7636</v>
      </c>
      <c r="O107" s="24"/>
      <c r="P107" s="63"/>
      <c r="Q107" s="63"/>
      <c r="R107" s="63"/>
      <c r="U107" s="7" t="s">
        <v>101</v>
      </c>
      <c r="V107" s="60" t="s">
        <v>102</v>
      </c>
      <c r="W107" s="85" t="s">
        <v>50</v>
      </c>
      <c r="X107" s="86">
        <f>$AA138</f>
        <v>8188</v>
      </c>
      <c r="Y107" s="86">
        <f>AB138</f>
        <v>23732.564785583188</v>
      </c>
      <c r="Z107" s="88">
        <v>0</v>
      </c>
      <c r="AA107" s="68">
        <f>IF(W107="EXP",$AB138,IF(W107="LB",$AB139,$AB140))</f>
        <v>23732.564785583188</v>
      </c>
      <c r="AB107" s="86">
        <f>AA107*(1+Z107)</f>
        <v>23732.564785583188</v>
      </c>
      <c r="AC107" s="87">
        <f>(AB107-Y107)/ABS(Y107)</f>
        <v>0</v>
      </c>
      <c r="AD107" s="69">
        <f>AB107+X107</f>
        <v>31920.564785583188</v>
      </c>
      <c r="AE107" s="67" t="s">
        <v>34</v>
      </c>
      <c r="AF107" s="86">
        <f>$AA138</f>
        <v>8188</v>
      </c>
      <c r="AG107" s="86">
        <f>AB140</f>
        <v>24514.421779947494</v>
      </c>
      <c r="AH107" s="88">
        <v>0</v>
      </c>
      <c r="AI107" s="68">
        <f>IF(AE107="EXP",$AB138,IF(AE107="LB",$AB139,$AB140))</f>
        <v>24514.421779947494</v>
      </c>
      <c r="AJ107" s="86">
        <f>AI107*(1+AH107)</f>
        <v>24514.421779947494</v>
      </c>
      <c r="AK107" s="87">
        <f>(AJ107-AG107)/ABS(AG107)</f>
        <v>0</v>
      </c>
      <c r="AL107" s="69">
        <f>AJ107+AF107</f>
        <v>32702.421779947494</v>
      </c>
      <c r="AM107" s="67" t="s">
        <v>33</v>
      </c>
      <c r="AN107" s="86">
        <f>$AA138</f>
        <v>8188</v>
      </c>
      <c r="AO107" s="86">
        <f>AB139</f>
        <v>22950.707791218876</v>
      </c>
      <c r="AP107" s="88">
        <v>0</v>
      </c>
      <c r="AQ107" s="68">
        <f>IF(AM107="EXP",$AB138,IF(AM107="LB",$AB139,$AB140))</f>
        <v>22950.707791218876</v>
      </c>
      <c r="AR107" s="86">
        <f>AQ107*(1+AP107)</f>
        <v>22950.707791218876</v>
      </c>
      <c r="AS107" s="87">
        <f>(AR107-AO107)/ABS(AO107)</f>
        <v>0</v>
      </c>
      <c r="AT107" s="69">
        <f>AR107+AN107</f>
        <v>31138.707791218876</v>
      </c>
    </row>
    <row r="108" spans="1:46">
      <c r="C108" s="7">
        <v>2022</v>
      </c>
      <c r="D108" s="7" t="s">
        <v>37</v>
      </c>
      <c r="E108" s="24">
        <v>6675.5</v>
      </c>
      <c r="F108" s="24">
        <v>956.8</v>
      </c>
      <c r="G108" s="24">
        <v>517.79999999999995</v>
      </c>
      <c r="H108" s="24">
        <v>6058.4</v>
      </c>
      <c r="I108" s="24">
        <v>1584.7</v>
      </c>
      <c r="J108" s="24">
        <v>507</v>
      </c>
      <c r="K108" s="24">
        <v>4944.6000000000004</v>
      </c>
      <c r="L108" s="24">
        <v>1472</v>
      </c>
      <c r="M108" s="24">
        <v>1733.5</v>
      </c>
      <c r="N108" s="24">
        <v>8150</v>
      </c>
      <c r="O108" s="24"/>
      <c r="P108" s="63"/>
      <c r="Q108" s="63"/>
      <c r="R108" s="63"/>
      <c r="U108" s="7" t="s">
        <v>101</v>
      </c>
      <c r="V108" s="60" t="s">
        <v>103</v>
      </c>
      <c r="W108" s="85" t="s">
        <v>50</v>
      </c>
      <c r="X108" s="86">
        <f>$AA141</f>
        <v>1130.4000000000001</v>
      </c>
      <c r="Y108" s="86">
        <f>AB141</f>
        <v>3239.1453019875212</v>
      </c>
      <c r="Z108" s="88">
        <v>0</v>
      </c>
      <c r="AA108" s="68">
        <f>IF(W108="EXP",$AB141,IF(W108="LB",$AB142,$AB143))</f>
        <v>3239.1453019875212</v>
      </c>
      <c r="AB108" s="86">
        <f t="shared" ref="AB108:AB109" si="52">AA108*(1+Z108)</f>
        <v>3239.1453019875212</v>
      </c>
      <c r="AC108" s="87">
        <f t="shared" ref="AC108:AC110" si="53">(AB108-Y108)/ABS(Y108)</f>
        <v>0</v>
      </c>
      <c r="AD108" s="69">
        <f t="shared" ref="AD108:AD109" si="54">AB108+X108</f>
        <v>4369.5453019875213</v>
      </c>
      <c r="AE108" s="67" t="s">
        <v>34</v>
      </c>
      <c r="AF108" s="86">
        <f>$AA141</f>
        <v>1130.4000000000001</v>
      </c>
      <c r="AG108" s="86">
        <f>AB143</f>
        <v>3412.8999010059374</v>
      </c>
      <c r="AH108" s="88">
        <v>0</v>
      </c>
      <c r="AI108" s="68">
        <f>IF(AE108="EXP",$AB141,IF(AE108="LB",$AB142,$AB143))</f>
        <v>3412.8999010059374</v>
      </c>
      <c r="AJ108" s="86">
        <f t="shared" ref="AJ108:AJ109" si="55">AI108*(1+AH108)</f>
        <v>3412.8999010059374</v>
      </c>
      <c r="AK108" s="87">
        <f t="shared" ref="AK108:AK110" si="56">(AJ108-AG108)/ABS(AG108)</f>
        <v>0</v>
      </c>
      <c r="AL108" s="69">
        <f t="shared" ref="AL108:AL109" si="57">AJ108+AF108</f>
        <v>4543.2999010059375</v>
      </c>
      <c r="AM108" s="67" t="s">
        <v>33</v>
      </c>
      <c r="AN108" s="86">
        <f>$AA141</f>
        <v>1130.4000000000001</v>
      </c>
      <c r="AO108" s="86">
        <f>AB142</f>
        <v>3065.390702969104</v>
      </c>
      <c r="AP108" s="88">
        <v>0</v>
      </c>
      <c r="AQ108" s="68">
        <f>IF(AM108="EXP",$AB141,IF(AM108="LB",$AB142,$AB143))</f>
        <v>3065.390702969104</v>
      </c>
      <c r="AR108" s="86">
        <f t="shared" ref="AR108:AR109" si="58">AQ108*(1+AP108)</f>
        <v>3065.390702969104</v>
      </c>
      <c r="AS108" s="87">
        <f t="shared" ref="AS108:AS110" si="59">(AR108-AO108)/ABS(AO108)</f>
        <v>0</v>
      </c>
      <c r="AT108" s="69">
        <f t="shared" ref="AT108:AT109" si="60">AR108+AN108</f>
        <v>4195.7907029691041</v>
      </c>
    </row>
    <row r="109" spans="1:46">
      <c r="C109" s="7">
        <v>2022</v>
      </c>
      <c r="D109" s="7" t="s">
        <v>39</v>
      </c>
      <c r="E109" s="24">
        <v>6901.4</v>
      </c>
      <c r="F109" s="24">
        <v>998.4</v>
      </c>
      <c r="G109" s="24">
        <v>514.4</v>
      </c>
      <c r="H109" s="24">
        <v>6134.4</v>
      </c>
      <c r="I109" s="24">
        <v>1777</v>
      </c>
      <c r="J109" s="24">
        <v>503</v>
      </c>
      <c r="K109" s="24">
        <v>5113.2999999999993</v>
      </c>
      <c r="L109" s="24">
        <v>1533.3000000000002</v>
      </c>
      <c r="M109" s="24">
        <v>1767.6000000000004</v>
      </c>
      <c r="N109" s="24">
        <v>8414</v>
      </c>
      <c r="O109" s="24"/>
      <c r="P109" s="63"/>
      <c r="Q109" s="63"/>
      <c r="R109" s="63"/>
      <c r="U109" s="7" t="s">
        <v>101</v>
      </c>
      <c r="V109" s="60" t="s">
        <v>104</v>
      </c>
      <c r="W109" s="85" t="s">
        <v>50</v>
      </c>
      <c r="X109" s="86">
        <f>$AA144</f>
        <v>596.70000000000005</v>
      </c>
      <c r="Y109" s="86">
        <f>AB144</f>
        <v>1645.8894545454548</v>
      </c>
      <c r="Z109" s="88">
        <v>0</v>
      </c>
      <c r="AA109" s="68">
        <f>IF(W109="EXP",$AB144,IF(W109="LB",$AB145,$AB146))</f>
        <v>1645.8894545454548</v>
      </c>
      <c r="AB109" s="86">
        <f t="shared" si="52"/>
        <v>1645.8894545454548</v>
      </c>
      <c r="AC109" s="87">
        <f t="shared" si="53"/>
        <v>0</v>
      </c>
      <c r="AD109" s="69">
        <f t="shared" si="54"/>
        <v>2242.5894545454548</v>
      </c>
      <c r="AE109" s="67" t="s">
        <v>34</v>
      </c>
      <c r="AF109" s="86">
        <f>$AA144</f>
        <v>596.70000000000005</v>
      </c>
      <c r="AG109" s="86">
        <f>AB146</f>
        <v>1769.0204851845895</v>
      </c>
      <c r="AH109" s="88">
        <v>0</v>
      </c>
      <c r="AI109" s="68">
        <f>IF(AE109="EXP",$AB144,IF(AE109="LB",$AB145,$AB146))</f>
        <v>1769.0204851845895</v>
      </c>
      <c r="AJ109" s="86">
        <f t="shared" si="55"/>
        <v>1769.0204851845895</v>
      </c>
      <c r="AK109" s="87">
        <f t="shared" si="56"/>
        <v>0</v>
      </c>
      <c r="AL109" s="69">
        <f t="shared" si="57"/>
        <v>2365.7204851845895</v>
      </c>
      <c r="AM109" s="67" t="s">
        <v>33</v>
      </c>
      <c r="AN109" s="86">
        <f>$AA144</f>
        <v>596.70000000000005</v>
      </c>
      <c r="AO109" s="86">
        <f>AB145</f>
        <v>1522.7584239063206</v>
      </c>
      <c r="AP109" s="88">
        <v>0</v>
      </c>
      <c r="AQ109" s="68">
        <f>IF(AM109="EXP",$AB144,IF(AM109="LB",$AB145,$AB146))</f>
        <v>1522.7584239063206</v>
      </c>
      <c r="AR109" s="86">
        <f t="shared" si="58"/>
        <v>1522.7584239063206</v>
      </c>
      <c r="AS109" s="87">
        <f t="shared" si="59"/>
        <v>0</v>
      </c>
      <c r="AT109" s="69">
        <f t="shared" si="60"/>
        <v>2119.4584239063206</v>
      </c>
    </row>
    <row r="110" spans="1:46" ht="16.2" thickBot="1">
      <c r="C110" s="7">
        <v>2022</v>
      </c>
      <c r="D110" s="7" t="s">
        <v>41</v>
      </c>
      <c r="E110" s="24">
        <v>7084</v>
      </c>
      <c r="F110" s="24">
        <v>1120</v>
      </c>
      <c r="G110" s="24">
        <v>511</v>
      </c>
      <c r="H110" s="24">
        <v>6551</v>
      </c>
      <c r="I110" s="24">
        <v>1680</v>
      </c>
      <c r="J110" s="24">
        <v>483</v>
      </c>
      <c r="K110" s="24">
        <v>5173</v>
      </c>
      <c r="L110" s="24">
        <v>1566</v>
      </c>
      <c r="M110" s="24">
        <v>1975</v>
      </c>
      <c r="N110" s="24">
        <v>8714</v>
      </c>
      <c r="O110" s="24"/>
      <c r="P110" s="63"/>
      <c r="Q110" s="63"/>
      <c r="R110" s="63"/>
      <c r="U110" s="7"/>
      <c r="V110" s="60" t="s">
        <v>96</v>
      </c>
      <c r="W110" s="85"/>
      <c r="X110" s="72">
        <f>SUM(X107:X109)</f>
        <v>9915.1</v>
      </c>
      <c r="Y110" s="72">
        <f>SUM(Y107:Y109)</f>
        <v>28617.599542116164</v>
      </c>
      <c r="Z110" s="88"/>
      <c r="AA110" s="72">
        <f>SUM(AA107:AA109)</f>
        <v>28617.599542116164</v>
      </c>
      <c r="AB110" s="72">
        <f>SUM(AB107:AB109)</f>
        <v>28617.599542116164</v>
      </c>
      <c r="AC110" s="87">
        <f t="shared" si="53"/>
        <v>0</v>
      </c>
      <c r="AD110" s="72">
        <f>SUM(AD107:AD109)</f>
        <v>38532.69954211617</v>
      </c>
      <c r="AE110" s="67"/>
      <c r="AF110" s="72">
        <f>SUM(AF107:AF109)</f>
        <v>9915.1</v>
      </c>
      <c r="AG110" s="72">
        <f>SUM(AG107:AG109)</f>
        <v>29696.34216613802</v>
      </c>
      <c r="AH110" s="88"/>
      <c r="AI110" s="72">
        <f>SUM(AI107:AI109)</f>
        <v>29696.34216613802</v>
      </c>
      <c r="AJ110" s="72">
        <f>SUM(AJ107:AJ109)</f>
        <v>29696.34216613802</v>
      </c>
      <c r="AK110" s="87">
        <f t="shared" si="56"/>
        <v>0</v>
      </c>
      <c r="AL110" s="72">
        <f>SUM(AL107:AL109)</f>
        <v>39611.442166138018</v>
      </c>
      <c r="AM110" s="71"/>
      <c r="AN110" s="72">
        <f>SUM(AN107:AN109)</f>
        <v>9915.1</v>
      </c>
      <c r="AO110" s="72">
        <f>SUM(AO107:AO109)</f>
        <v>27538.856918094301</v>
      </c>
      <c r="AP110" s="88"/>
      <c r="AQ110" s="72">
        <f>SUM(AQ107:AQ109)</f>
        <v>27538.856918094301</v>
      </c>
      <c r="AR110" s="72">
        <f>SUM(AR107:AR109)</f>
        <v>27538.856918094301</v>
      </c>
      <c r="AS110" s="87">
        <f t="shared" si="59"/>
        <v>0</v>
      </c>
      <c r="AT110" s="72">
        <f>SUM(AT107:AT109)</f>
        <v>37453.9569180943</v>
      </c>
    </row>
    <row r="111" spans="1:46">
      <c r="C111" s="7">
        <v>2023</v>
      </c>
      <c r="D111" s="7" t="s">
        <v>35</v>
      </c>
      <c r="E111" s="24">
        <v>7142.3</v>
      </c>
      <c r="F111" s="24">
        <v>1069.5</v>
      </c>
      <c r="G111" s="24">
        <v>508</v>
      </c>
      <c r="H111" s="24">
        <v>6380.6</v>
      </c>
      <c r="I111" s="24">
        <v>1854.8</v>
      </c>
      <c r="J111" s="24">
        <v>485</v>
      </c>
      <c r="K111" s="24">
        <v>5226.8999999999996</v>
      </c>
      <c r="L111" s="24">
        <v>1590.9</v>
      </c>
      <c r="M111" s="24">
        <v>1902</v>
      </c>
      <c r="N111" s="81">
        <v>8719.7999999999993</v>
      </c>
      <c r="O111" s="81"/>
      <c r="P111" s="63"/>
      <c r="Q111" s="63"/>
      <c r="R111" s="63"/>
      <c r="W111" s="85"/>
      <c r="X111" s="69"/>
      <c r="Y111" s="69"/>
      <c r="Z111" s="89"/>
      <c r="AA111" s="69"/>
      <c r="AB111" s="69"/>
      <c r="AC111" s="69"/>
      <c r="AD111" s="69"/>
      <c r="AE111" s="85"/>
      <c r="AF111" s="69"/>
      <c r="AG111" s="69"/>
      <c r="AH111" s="89"/>
      <c r="AI111" s="69"/>
      <c r="AJ111" s="69"/>
      <c r="AK111" s="69"/>
      <c r="AL111" s="69"/>
      <c r="AM111" s="39"/>
      <c r="AN111" s="69"/>
      <c r="AO111" s="69"/>
      <c r="AP111" s="89"/>
      <c r="AQ111" s="69"/>
      <c r="AR111" s="69"/>
      <c r="AS111" s="69"/>
      <c r="AT111" s="69"/>
    </row>
    <row r="112" spans="1:46">
      <c r="C112" s="7">
        <v>2023</v>
      </c>
      <c r="D112" s="7" t="s">
        <v>37</v>
      </c>
      <c r="E112" s="24">
        <v>7556.7</v>
      </c>
      <c r="F112" s="24">
        <v>1136.2</v>
      </c>
      <c r="G112" s="24">
        <v>475.4</v>
      </c>
      <c r="H112" s="24">
        <v>6737.8</v>
      </c>
      <c r="I112" s="24">
        <v>1972.9</v>
      </c>
      <c r="J112" s="24">
        <v>457</v>
      </c>
      <c r="K112" s="24">
        <v>5587.9</v>
      </c>
      <c r="L112" s="24">
        <v>1704.5</v>
      </c>
      <c r="M112" s="24">
        <v>1875.9</v>
      </c>
      <c r="N112" s="81">
        <v>9168.2999999999993</v>
      </c>
      <c r="O112" s="81"/>
      <c r="P112" s="63"/>
      <c r="Q112" s="63"/>
      <c r="R112" s="63"/>
      <c r="U112" s="7"/>
      <c r="V112" s="85" t="s">
        <v>10</v>
      </c>
      <c r="W112" s="85"/>
      <c r="X112" s="69"/>
      <c r="Y112" s="69"/>
      <c r="Z112" s="89"/>
      <c r="AA112" s="69"/>
      <c r="AB112" s="85"/>
      <c r="AC112" s="87">
        <f>(AC105+AC110+AC100)/3</f>
        <v>0</v>
      </c>
      <c r="AD112" s="69"/>
      <c r="AE112" s="89"/>
      <c r="AF112" s="69"/>
      <c r="AG112" s="69"/>
      <c r="AH112" s="69"/>
      <c r="AI112" s="39"/>
      <c r="AJ112" s="85"/>
      <c r="AK112" s="87">
        <f>(AK105+AK110+AK100)/3</f>
        <v>0</v>
      </c>
      <c r="AL112" s="69"/>
      <c r="AM112" s="89"/>
      <c r="AN112" s="69"/>
      <c r="AO112" s="69"/>
      <c r="AR112" s="85"/>
      <c r="AS112" s="87">
        <f>(AS105+AS110+AS100)/3</f>
        <v>0</v>
      </c>
      <c r="AT112" s="69"/>
    </row>
    <row r="113" spans="2:69">
      <c r="C113" s="7">
        <v>2023</v>
      </c>
      <c r="D113" s="7" t="s">
        <v>39</v>
      </c>
      <c r="E113" s="24">
        <v>7679.9</v>
      </c>
      <c r="F113" s="24">
        <v>1187.5</v>
      </c>
      <c r="G113" s="24">
        <v>506.2</v>
      </c>
      <c r="H113" s="24">
        <v>6900</v>
      </c>
      <c r="I113" s="24">
        <v>1979.9</v>
      </c>
      <c r="J113" s="24">
        <v>494</v>
      </c>
      <c r="K113" s="24">
        <v>5624.3399999999992</v>
      </c>
      <c r="L113" s="24">
        <v>1687.3019999999999</v>
      </c>
      <c r="M113" s="24">
        <v>2062</v>
      </c>
      <c r="N113" s="81">
        <v>9373.6</v>
      </c>
      <c r="O113" s="81"/>
      <c r="P113" s="63"/>
      <c r="Q113" s="63"/>
      <c r="R113" s="63"/>
      <c r="U113" s="7"/>
      <c r="V113" s="60"/>
      <c r="AE113" s="90"/>
      <c r="AJ113" s="90"/>
    </row>
    <row r="114" spans="2:69">
      <c r="C114" s="7">
        <v>2023</v>
      </c>
      <c r="D114" s="7" t="s">
        <v>41</v>
      </c>
      <c r="E114" s="24">
        <v>7755.2</v>
      </c>
      <c r="F114" s="24">
        <v>1192.0999999999999</v>
      </c>
      <c r="G114" s="24">
        <v>478</v>
      </c>
      <c r="H114" s="24">
        <v>7120.7</v>
      </c>
      <c r="I114" s="24">
        <v>1846.3</v>
      </c>
      <c r="J114" s="24">
        <v>458</v>
      </c>
      <c r="K114" s="24">
        <v>5695.9</v>
      </c>
      <c r="L114" s="24">
        <v>1757.1</v>
      </c>
      <c r="M114" s="24">
        <v>1972.3</v>
      </c>
      <c r="N114" s="22">
        <v>9425</v>
      </c>
      <c r="O114" s="81"/>
      <c r="P114" s="63"/>
      <c r="Q114" s="63"/>
      <c r="R114" s="63"/>
      <c r="W114" s="83" t="s">
        <v>127</v>
      </c>
      <c r="X114" s="6" t="s">
        <v>128</v>
      </c>
      <c r="AE114" s="82"/>
    </row>
    <row r="115" spans="2:69">
      <c r="C115" s="7">
        <v>2024</v>
      </c>
      <c r="D115" s="7" t="s">
        <v>35</v>
      </c>
      <c r="E115" s="24">
        <v>7052.6</v>
      </c>
      <c r="F115" s="24">
        <v>1054.5</v>
      </c>
      <c r="G115" s="24">
        <v>455.9</v>
      </c>
      <c r="H115" s="24">
        <v>6380</v>
      </c>
      <c r="I115" s="24">
        <v>1757.3</v>
      </c>
      <c r="J115" s="24">
        <v>425.7</v>
      </c>
      <c r="K115" s="24">
        <v>5160.6000000000004</v>
      </c>
      <c r="L115" s="24">
        <v>1583</v>
      </c>
      <c r="M115" s="24">
        <v>1819.4</v>
      </c>
      <c r="N115" s="91">
        <v>8563</v>
      </c>
      <c r="O115" s="81"/>
      <c r="P115" s="63"/>
      <c r="Q115" s="63"/>
      <c r="R115" s="63"/>
      <c r="W115" s="84" t="s">
        <v>127</v>
      </c>
      <c r="X115" s="6" t="s">
        <v>129</v>
      </c>
      <c r="AM115" s="10"/>
      <c r="AN115" s="10"/>
      <c r="AU115" s="10"/>
      <c r="AV115" s="10"/>
      <c r="AW115" s="6"/>
      <c r="AX115" s="6"/>
      <c r="AY115" s="6"/>
      <c r="AZ115" s="6"/>
      <c r="BA115" s="6"/>
    </row>
    <row r="116" spans="2:69">
      <c r="C116" s="7">
        <v>2024</v>
      </c>
      <c r="D116" s="7" t="s">
        <v>37</v>
      </c>
      <c r="E116" s="24">
        <v>7516</v>
      </c>
      <c r="F116" s="24">
        <v>1129</v>
      </c>
      <c r="G116" s="24">
        <v>468.9</v>
      </c>
      <c r="H116" s="24">
        <v>6816.7</v>
      </c>
      <c r="I116" s="24">
        <v>1842.1</v>
      </c>
      <c r="J116" s="24">
        <v>455</v>
      </c>
      <c r="K116" s="24">
        <v>5528</v>
      </c>
      <c r="L116" s="24">
        <v>1744.5</v>
      </c>
      <c r="M116" s="24">
        <v>1841.4</v>
      </c>
      <c r="N116" s="91">
        <v>9114</v>
      </c>
      <c r="P116" s="63"/>
      <c r="Q116" s="63"/>
      <c r="R116" s="63"/>
      <c r="AM116" s="10"/>
      <c r="AN116" s="10"/>
      <c r="AU116" s="10"/>
      <c r="AV116" s="10"/>
      <c r="AW116" s="6"/>
      <c r="AX116" s="6"/>
      <c r="AY116" s="6"/>
      <c r="AZ116" s="6"/>
      <c r="BA116" s="6"/>
    </row>
    <row r="117" spans="2:69">
      <c r="C117" s="7">
        <v>2024</v>
      </c>
      <c r="D117" s="7" t="s">
        <v>39</v>
      </c>
      <c r="E117" s="24">
        <v>7442</v>
      </c>
      <c r="F117" s="24">
        <v>1129.5</v>
      </c>
      <c r="G117" s="24">
        <v>502.4</v>
      </c>
      <c r="H117" s="24">
        <v>6691.9</v>
      </c>
      <c r="I117" s="24">
        <v>1893.2</v>
      </c>
      <c r="J117" s="24">
        <v>489</v>
      </c>
      <c r="K117" s="24">
        <v>5514.9726572501495</v>
      </c>
      <c r="L117" s="24">
        <v>1668.722111035248</v>
      </c>
      <c r="M117" s="24">
        <v>1890.4052317146029</v>
      </c>
      <c r="N117" s="91">
        <v>9074</v>
      </c>
      <c r="P117" s="63"/>
      <c r="Q117" s="63"/>
      <c r="R117" s="63"/>
      <c r="AM117" s="10"/>
      <c r="AN117" s="10"/>
      <c r="AU117" s="10"/>
      <c r="AV117" s="10"/>
      <c r="AW117" s="6"/>
      <c r="AX117" s="6"/>
      <c r="AY117" s="6"/>
      <c r="AZ117" s="6"/>
      <c r="BA117" s="6"/>
    </row>
    <row r="118" spans="2:69">
      <c r="C118" s="7">
        <v>2024</v>
      </c>
      <c r="D118" s="7" t="s">
        <v>41</v>
      </c>
      <c r="E118" s="24">
        <v>7785.3</v>
      </c>
      <c r="F118" s="24">
        <v>1135.7</v>
      </c>
      <c r="G118" s="24">
        <v>476.8</v>
      </c>
      <c r="H118" s="24">
        <v>7071.9</v>
      </c>
      <c r="I118" s="24">
        <v>1871.3</v>
      </c>
      <c r="J118" s="24">
        <v>455</v>
      </c>
      <c r="K118" s="24">
        <v>5678</v>
      </c>
      <c r="L118" s="24">
        <v>1790.4</v>
      </c>
      <c r="M118" s="24">
        <v>1930</v>
      </c>
      <c r="N118" s="91">
        <v>9397.7999999999993</v>
      </c>
      <c r="P118" s="63"/>
      <c r="Q118" s="63"/>
      <c r="R118" s="63"/>
      <c r="T118" s="92" t="s">
        <v>130</v>
      </c>
      <c r="W118" s="10" t="s">
        <v>81</v>
      </c>
      <c r="X118" s="10" t="s">
        <v>131</v>
      </c>
      <c r="AE118" s="10" t="s">
        <v>81</v>
      </c>
      <c r="AF118" s="10" t="s">
        <v>132</v>
      </c>
      <c r="AM118" s="10" t="s">
        <v>81</v>
      </c>
      <c r="AN118" s="10" t="s">
        <v>133</v>
      </c>
      <c r="AU118" s="10" t="s">
        <v>81</v>
      </c>
      <c r="AV118" s="10" t="s">
        <v>36</v>
      </c>
      <c r="AW118" s="6"/>
      <c r="AX118" s="6"/>
      <c r="AY118" s="6"/>
      <c r="AZ118" s="6"/>
      <c r="BA118" s="6"/>
      <c r="BC118" s="10" t="s">
        <v>81</v>
      </c>
      <c r="BD118" s="10" t="s">
        <v>131</v>
      </c>
      <c r="BE118" s="6"/>
      <c r="BF118" s="6"/>
      <c r="BG118" s="6"/>
      <c r="BH118" s="6"/>
      <c r="BI118" s="6"/>
      <c r="BK118" s="10" t="s">
        <v>81</v>
      </c>
      <c r="BL118" s="10" t="s">
        <v>44</v>
      </c>
      <c r="BM118" s="6"/>
      <c r="BN118" s="6"/>
      <c r="BO118" s="6"/>
      <c r="BP118" s="6"/>
      <c r="BQ118" s="6"/>
    </row>
    <row r="119" spans="2:69">
      <c r="C119" s="7">
        <v>2025</v>
      </c>
      <c r="D119" s="7" t="s">
        <v>35</v>
      </c>
      <c r="E119" s="24">
        <v>7285</v>
      </c>
      <c r="F119" s="24">
        <v>1016</v>
      </c>
      <c r="G119" s="24">
        <v>460.6</v>
      </c>
      <c r="H119" s="24">
        <v>6472.7</v>
      </c>
      <c r="I119" s="24">
        <v>1867.1</v>
      </c>
      <c r="J119" s="24">
        <v>421.8</v>
      </c>
      <c r="K119" s="24">
        <v>5293.6</v>
      </c>
      <c r="L119" s="24">
        <v>1691.9</v>
      </c>
      <c r="M119" s="24">
        <v>1776.1</v>
      </c>
      <c r="N119" s="93">
        <v>8761.6</v>
      </c>
      <c r="W119" s="10" t="s">
        <v>114</v>
      </c>
      <c r="X119" s="10" t="s">
        <v>113</v>
      </c>
      <c r="Y119" s="6" t="s">
        <v>134</v>
      </c>
      <c r="AA119" s="10" t="s">
        <v>47</v>
      </c>
      <c r="AB119" s="10" t="s">
        <v>48</v>
      </c>
      <c r="AC119" s="10" t="s">
        <v>53</v>
      </c>
      <c r="AE119" s="10" t="s">
        <v>114</v>
      </c>
      <c r="AF119" s="10" t="s">
        <v>113</v>
      </c>
      <c r="AG119" s="6" t="s">
        <v>134</v>
      </c>
      <c r="AI119" s="10" t="s">
        <v>47</v>
      </c>
      <c r="AJ119" s="10" t="s">
        <v>48</v>
      </c>
      <c r="AK119" s="10" t="s">
        <v>53</v>
      </c>
      <c r="AM119" s="10" t="s">
        <v>114</v>
      </c>
      <c r="AN119" s="10" t="s">
        <v>113</v>
      </c>
      <c r="AO119" s="6" t="s">
        <v>134</v>
      </c>
      <c r="AQ119" s="10" t="s">
        <v>47</v>
      </c>
      <c r="AR119" s="10" t="s">
        <v>48</v>
      </c>
      <c r="AS119" s="10" t="s">
        <v>53</v>
      </c>
      <c r="AU119" s="10" t="s">
        <v>114</v>
      </c>
      <c r="AV119" s="41" t="s">
        <v>113</v>
      </c>
      <c r="AW119" t="s">
        <v>134</v>
      </c>
      <c r="AX119" s="6"/>
      <c r="AY119" s="10" t="s">
        <v>47</v>
      </c>
      <c r="AZ119" s="10" t="s">
        <v>48</v>
      </c>
      <c r="BA119" s="10" t="s">
        <v>53</v>
      </c>
      <c r="BC119" s="10" t="s">
        <v>114</v>
      </c>
      <c r="BD119" s="41" t="s">
        <v>113</v>
      </c>
      <c r="BE119" t="s">
        <v>134</v>
      </c>
      <c r="BF119" s="6"/>
      <c r="BG119" s="10" t="s">
        <v>47</v>
      </c>
      <c r="BH119" s="10" t="s">
        <v>48</v>
      </c>
      <c r="BI119" s="10" t="s">
        <v>53</v>
      </c>
      <c r="BK119" s="10" t="s">
        <v>114</v>
      </c>
      <c r="BL119" s="41" t="s">
        <v>113</v>
      </c>
      <c r="BM119" t="s">
        <v>134</v>
      </c>
      <c r="BN119" s="6"/>
      <c r="BO119" s="10" t="s">
        <v>47</v>
      </c>
      <c r="BP119" s="10" t="s">
        <v>48</v>
      </c>
      <c r="BQ119" s="10" t="s">
        <v>53</v>
      </c>
    </row>
    <row r="120" spans="2:69">
      <c r="C120" s="7">
        <v>2025</v>
      </c>
      <c r="D120" s="7" t="s">
        <v>37</v>
      </c>
      <c r="E120" s="24">
        <v>7812.5</v>
      </c>
      <c r="F120" s="24">
        <v>1105.5999999999999</v>
      </c>
      <c r="G120" s="24">
        <v>537.9</v>
      </c>
      <c r="H120" s="24">
        <v>6927</v>
      </c>
      <c r="I120" s="24">
        <v>2010.7</v>
      </c>
      <c r="J120" s="24">
        <v>518</v>
      </c>
      <c r="K120" s="24">
        <v>5752</v>
      </c>
      <c r="L120" s="24">
        <v>1787.5</v>
      </c>
      <c r="M120" s="24">
        <v>1916.5</v>
      </c>
      <c r="N120" s="91">
        <v>9456</v>
      </c>
      <c r="W120" s="6" t="s">
        <v>50</v>
      </c>
      <c r="X120" s="7" t="s">
        <v>92</v>
      </c>
      <c r="Y120" s="60" t="s">
        <v>93</v>
      </c>
      <c r="Z120" s="6" t="s">
        <v>50</v>
      </c>
      <c r="AA120" s="24">
        <v>5944.2</v>
      </c>
      <c r="AB120" s="37">
        <v>17361.940589646874</v>
      </c>
      <c r="AC120" s="24">
        <v>23306.140589646875</v>
      </c>
      <c r="AE120" s="6" t="s">
        <v>50</v>
      </c>
      <c r="AF120" s="7" t="s">
        <v>92</v>
      </c>
      <c r="AG120" s="60" t="s">
        <v>93</v>
      </c>
      <c r="AH120" s="6" t="s">
        <v>50</v>
      </c>
      <c r="AI120" s="24">
        <v>5944.2</v>
      </c>
      <c r="AJ120" s="37">
        <v>17243.063877505956</v>
      </c>
      <c r="AK120" s="24">
        <v>23187.263877505957</v>
      </c>
      <c r="AM120" s="6" t="s">
        <v>50</v>
      </c>
      <c r="AN120" s="7" t="s">
        <v>92</v>
      </c>
      <c r="AO120" s="60" t="s">
        <v>93</v>
      </c>
      <c r="AP120" s="6" t="s">
        <v>50</v>
      </c>
      <c r="AQ120" s="24">
        <v>5944.2</v>
      </c>
      <c r="AR120" s="37">
        <v>17419.824417484902</v>
      </c>
      <c r="AS120" s="24">
        <v>23364.024417484903</v>
      </c>
      <c r="AU120" s="6" t="s">
        <v>50</v>
      </c>
      <c r="AV120" s="7" t="s">
        <v>92</v>
      </c>
      <c r="AW120" s="60" t="s">
        <v>93</v>
      </c>
      <c r="AX120" s="6" t="s">
        <v>50</v>
      </c>
      <c r="AY120" s="24">
        <v>5944.2</v>
      </c>
      <c r="AZ120" s="37">
        <v>17671.122247719784</v>
      </c>
      <c r="BA120" s="24">
        <v>23615.322247719785</v>
      </c>
      <c r="BC120" s="6" t="s">
        <v>50</v>
      </c>
      <c r="BD120" s="7" t="s">
        <v>92</v>
      </c>
      <c r="BE120" s="60" t="s">
        <v>93</v>
      </c>
      <c r="BF120" s="6" t="s">
        <v>50</v>
      </c>
      <c r="BG120" s="24">
        <v>5944.2</v>
      </c>
      <c r="BH120" s="37">
        <v>17361.940589646874</v>
      </c>
      <c r="BI120" s="24">
        <v>23306.140589646875</v>
      </c>
      <c r="BK120" s="6" t="s">
        <v>50</v>
      </c>
      <c r="BL120" s="7" t="s">
        <v>92</v>
      </c>
      <c r="BM120" s="60" t="s">
        <v>93</v>
      </c>
      <c r="BN120" s="6" t="s">
        <v>50</v>
      </c>
      <c r="BO120" s="24">
        <v>5944.2</v>
      </c>
      <c r="BP120" s="37">
        <v>17594.518160401585</v>
      </c>
      <c r="BQ120" s="24">
        <v>23538.718160401586</v>
      </c>
    </row>
    <row r="121" spans="2:69">
      <c r="C121" s="7">
        <v>2025</v>
      </c>
      <c r="D121" s="7" t="s">
        <v>39</v>
      </c>
      <c r="E121" s="81">
        <v>7862</v>
      </c>
      <c r="F121" s="81">
        <v>1093</v>
      </c>
      <c r="G121" s="81">
        <v>614</v>
      </c>
      <c r="H121" s="24">
        <v>6901.5</v>
      </c>
      <c r="I121" s="24">
        <v>2070.9</v>
      </c>
      <c r="J121" s="24">
        <v>597</v>
      </c>
      <c r="K121" s="24">
        <v>5816.3000000000029</v>
      </c>
      <c r="L121" s="24">
        <v>1780.0999999999995</v>
      </c>
      <c r="M121" s="24">
        <v>1972.1</v>
      </c>
      <c r="N121" s="91">
        <v>9569</v>
      </c>
      <c r="W121" s="6" t="s">
        <v>33</v>
      </c>
      <c r="Z121" s="6" t="s">
        <v>33</v>
      </c>
      <c r="AA121" s="24">
        <v>5944.2</v>
      </c>
      <c r="AB121" s="37">
        <v>16794.188954939891</v>
      </c>
      <c r="AC121" s="24">
        <v>22738.388954939892</v>
      </c>
      <c r="AE121" s="6" t="s">
        <v>33</v>
      </c>
      <c r="AH121" s="6" t="s">
        <v>33</v>
      </c>
      <c r="AI121" s="24">
        <v>5944.2</v>
      </c>
      <c r="AJ121" s="37">
        <v>16366.362951600899</v>
      </c>
      <c r="AK121" s="24">
        <v>22310.562951600899</v>
      </c>
      <c r="AM121" s="6" t="s">
        <v>33</v>
      </c>
      <c r="AP121" s="6" t="s">
        <v>33</v>
      </c>
      <c r="AQ121" s="24">
        <v>5944.2</v>
      </c>
      <c r="AR121" s="37">
        <v>16220.951138147142</v>
      </c>
      <c r="AS121" s="24">
        <v>22165.151138147143</v>
      </c>
      <c r="AU121" s="6" t="s">
        <v>33</v>
      </c>
      <c r="AX121" s="6" t="s">
        <v>33</v>
      </c>
      <c r="AY121" s="24">
        <v>5944.2</v>
      </c>
      <c r="AZ121" s="37">
        <v>16786.977748085374</v>
      </c>
      <c r="BA121" s="24">
        <v>22731.177748085374</v>
      </c>
      <c r="BC121" s="6" t="s">
        <v>33</v>
      </c>
      <c r="BF121" s="6" t="s">
        <v>33</v>
      </c>
      <c r="BG121" s="24">
        <v>5944.2</v>
      </c>
      <c r="BH121" s="37">
        <v>16794.188954939891</v>
      </c>
      <c r="BI121" s="24">
        <v>22738.388954939892</v>
      </c>
      <c r="BK121" s="6" t="s">
        <v>33</v>
      </c>
      <c r="BN121" s="6" t="s">
        <v>33</v>
      </c>
      <c r="BO121" s="24">
        <v>5944.2</v>
      </c>
      <c r="BP121" s="37">
        <v>16237.735134942213</v>
      </c>
      <c r="BQ121" s="24">
        <v>22181.935134942214</v>
      </c>
    </row>
    <row r="122" spans="2:69" ht="16.05" customHeight="1">
      <c r="C122" s="7">
        <v>2025</v>
      </c>
      <c r="D122" s="7" t="s">
        <v>41</v>
      </c>
      <c r="E122" s="24">
        <v>8188</v>
      </c>
      <c r="F122" s="24">
        <v>1130.4000000000001</v>
      </c>
      <c r="G122" s="24">
        <v>596.70000000000005</v>
      </c>
      <c r="H122" s="24">
        <v>7280.5</v>
      </c>
      <c r="I122" s="24">
        <v>2064.9</v>
      </c>
      <c r="J122" s="24">
        <v>570</v>
      </c>
      <c r="K122" s="24">
        <v>5944.2</v>
      </c>
      <c r="L122" s="24">
        <v>1881.2</v>
      </c>
      <c r="M122" s="24">
        <v>2089.6999999999998</v>
      </c>
      <c r="N122" s="91">
        <v>9915.1</v>
      </c>
      <c r="W122" s="6" t="s">
        <v>34</v>
      </c>
      <c r="Z122" s="6" t="s">
        <v>34</v>
      </c>
      <c r="AA122" s="24">
        <v>5944.2</v>
      </c>
      <c r="AB122" s="37">
        <v>17929.692224353857</v>
      </c>
      <c r="AC122" s="24">
        <v>23873.892224353858</v>
      </c>
      <c r="AE122" s="6" t="s">
        <v>34</v>
      </c>
      <c r="AH122" s="6" t="s">
        <v>34</v>
      </c>
      <c r="AI122" s="24">
        <v>5944.2</v>
      </c>
      <c r="AJ122" s="37">
        <v>18119.764803411013</v>
      </c>
      <c r="AK122" s="24">
        <v>24063.964803411014</v>
      </c>
      <c r="AM122" s="6" t="s">
        <v>34</v>
      </c>
      <c r="AP122" s="6" t="s">
        <v>34</v>
      </c>
      <c r="AQ122" s="24">
        <v>5944.2</v>
      </c>
      <c r="AR122" s="37">
        <v>18618.697696822659</v>
      </c>
      <c r="AS122" s="24">
        <v>24562.89769682266</v>
      </c>
      <c r="AU122" s="6" t="s">
        <v>34</v>
      </c>
      <c r="AX122" s="6" t="s">
        <v>34</v>
      </c>
      <c r="AY122" s="24">
        <v>5944.2</v>
      </c>
      <c r="AZ122" s="37">
        <v>18555.266747354199</v>
      </c>
      <c r="BA122" s="24">
        <v>24499.466747354199</v>
      </c>
      <c r="BC122" s="6" t="s">
        <v>34</v>
      </c>
      <c r="BF122" s="6" t="s">
        <v>34</v>
      </c>
      <c r="BG122" s="24">
        <v>5944.2</v>
      </c>
      <c r="BH122" s="37">
        <v>17929.692224353857</v>
      </c>
      <c r="BI122" s="24">
        <v>23873.892224353858</v>
      </c>
      <c r="BK122" s="6" t="s">
        <v>34</v>
      </c>
      <c r="BN122" s="6" t="s">
        <v>34</v>
      </c>
      <c r="BO122" s="24">
        <v>5944.2</v>
      </c>
      <c r="BP122" s="37">
        <v>18951.301185860953</v>
      </c>
      <c r="BQ122" s="24">
        <v>24895.501185860954</v>
      </c>
    </row>
    <row r="123" spans="2:69">
      <c r="X123" s="7" t="s">
        <v>92</v>
      </c>
      <c r="Y123" s="60" t="s">
        <v>94</v>
      </c>
      <c r="Z123" s="6" t="s">
        <v>50</v>
      </c>
      <c r="AA123" s="24">
        <v>1881.2</v>
      </c>
      <c r="AB123" s="24">
        <v>5607.1676029841046</v>
      </c>
      <c r="AC123" s="24">
        <v>7488.3676029841045</v>
      </c>
      <c r="AF123" s="7" t="s">
        <v>92</v>
      </c>
      <c r="AG123" s="60" t="s">
        <v>94</v>
      </c>
      <c r="AH123" s="6" t="s">
        <v>50</v>
      </c>
      <c r="AI123" s="24">
        <v>1881.2</v>
      </c>
      <c r="AJ123" s="24">
        <v>5369.9716674733172</v>
      </c>
      <c r="AK123" s="24">
        <v>7251.171667473317</v>
      </c>
      <c r="AN123" s="7" t="s">
        <v>92</v>
      </c>
      <c r="AO123" s="60" t="s">
        <v>94</v>
      </c>
      <c r="AP123" s="6" t="s">
        <v>50</v>
      </c>
      <c r="AQ123" s="24">
        <v>1881.2</v>
      </c>
      <c r="AR123" s="24">
        <v>5535.8099718618478</v>
      </c>
      <c r="AS123" s="24">
        <v>7417.0099718618476</v>
      </c>
      <c r="AU123" s="6"/>
      <c r="AV123" s="7" t="s">
        <v>92</v>
      </c>
      <c r="AW123" s="60" t="s">
        <v>94</v>
      </c>
      <c r="AX123" s="6" t="s">
        <v>50</v>
      </c>
      <c r="AY123" s="63">
        <v>1881.2</v>
      </c>
      <c r="AZ123" s="63">
        <v>5499.4293412477809</v>
      </c>
      <c r="BA123" s="63">
        <v>7380.6293412477808</v>
      </c>
      <c r="BC123" s="6"/>
      <c r="BD123" s="7" t="s">
        <v>92</v>
      </c>
      <c r="BE123" s="60" t="s">
        <v>94</v>
      </c>
      <c r="BF123" s="6" t="s">
        <v>50</v>
      </c>
      <c r="BG123" s="63">
        <v>1881.2</v>
      </c>
      <c r="BH123" s="63">
        <v>5607.1676029841046</v>
      </c>
      <c r="BI123" s="63">
        <v>7488.3676029841045</v>
      </c>
      <c r="BK123" s="6"/>
      <c r="BL123" s="7" t="s">
        <v>92</v>
      </c>
      <c r="BM123" s="60" t="s">
        <v>94</v>
      </c>
      <c r="BN123" s="6" t="s">
        <v>50</v>
      </c>
      <c r="BO123" s="63">
        <v>1881.2</v>
      </c>
      <c r="BP123" s="63">
        <v>5443.4525465674633</v>
      </c>
      <c r="BQ123" s="63">
        <v>7324.6525465674631</v>
      </c>
    </row>
    <row r="124" spans="2:69">
      <c r="X124" s="7"/>
      <c r="Y124" s="60"/>
      <c r="Z124" s="6" t="s">
        <v>33</v>
      </c>
      <c r="AA124" s="24">
        <v>1881.2</v>
      </c>
      <c r="AB124" s="24">
        <v>5358.4085804573815</v>
      </c>
      <c r="AC124" s="24">
        <v>7239.6085804573813</v>
      </c>
      <c r="AF124" s="7"/>
      <c r="AG124" s="60"/>
      <c r="AH124" s="6" t="s">
        <v>33</v>
      </c>
      <c r="AI124" s="24">
        <v>1881.2</v>
      </c>
      <c r="AJ124" s="24">
        <v>5198.6038199480108</v>
      </c>
      <c r="AK124" s="24">
        <v>7079.8038199480106</v>
      </c>
      <c r="AN124" s="7"/>
      <c r="AO124" s="60"/>
      <c r="AP124" s="6" t="s">
        <v>33</v>
      </c>
      <c r="AQ124" s="24">
        <v>1881.2</v>
      </c>
      <c r="AR124" s="24">
        <v>5224.8262538126528</v>
      </c>
      <c r="AS124" s="24">
        <v>7106.0262538126526</v>
      </c>
      <c r="AU124" s="6"/>
      <c r="AV124" s="7"/>
      <c r="AW124" s="60"/>
      <c r="AX124" s="6" t="s">
        <v>33</v>
      </c>
      <c r="AY124" s="63">
        <v>1881.2</v>
      </c>
      <c r="AZ124" s="63">
        <v>5302.494544921261</v>
      </c>
      <c r="BA124" s="63">
        <v>7183.6945449212608</v>
      </c>
      <c r="BC124" s="6"/>
      <c r="BD124" s="7"/>
      <c r="BE124" s="60"/>
      <c r="BF124" s="6" t="s">
        <v>33</v>
      </c>
      <c r="BG124" s="63">
        <v>1881.2</v>
      </c>
      <c r="BH124" s="63">
        <v>5358.4085804573815</v>
      </c>
      <c r="BI124" s="63">
        <v>7239.6085804573813</v>
      </c>
      <c r="BK124" s="6"/>
      <c r="BL124" s="7"/>
      <c r="BM124" s="60"/>
      <c r="BN124" s="6" t="s">
        <v>33</v>
      </c>
      <c r="BO124" s="63">
        <v>1881.2</v>
      </c>
      <c r="BP124" s="63">
        <v>5225.2859087196584</v>
      </c>
      <c r="BQ124" s="63">
        <v>7106.4859087196583</v>
      </c>
    </row>
    <row r="125" spans="2:69">
      <c r="B125" s="6" t="s">
        <v>135</v>
      </c>
      <c r="F125" s="8"/>
      <c r="X125" s="7"/>
      <c r="Y125" s="60"/>
      <c r="Z125" s="6" t="s">
        <v>34</v>
      </c>
      <c r="AA125" s="24">
        <v>1881.2</v>
      </c>
      <c r="AB125" s="24">
        <v>5855.9266255108278</v>
      </c>
      <c r="AC125" s="24">
        <v>7737.1266255108276</v>
      </c>
      <c r="AF125" s="7"/>
      <c r="AG125" s="60"/>
      <c r="AH125" s="6" t="s">
        <v>34</v>
      </c>
      <c r="AI125" s="24">
        <v>1881.2</v>
      </c>
      <c r="AJ125" s="24">
        <v>5541.3395149986236</v>
      </c>
      <c r="AK125" s="24">
        <v>7422.5395149986234</v>
      </c>
      <c r="AN125" s="7"/>
      <c r="AO125" s="60"/>
      <c r="AP125" s="6" t="s">
        <v>34</v>
      </c>
      <c r="AQ125" s="24">
        <v>1881.2</v>
      </c>
      <c r="AR125" s="24">
        <v>5846.7936899110437</v>
      </c>
      <c r="AS125" s="24">
        <v>7727.9936899110435</v>
      </c>
      <c r="AU125" s="6"/>
      <c r="AV125" s="7"/>
      <c r="AW125" s="60"/>
      <c r="AX125" s="6" t="s">
        <v>34</v>
      </c>
      <c r="AY125" s="63">
        <v>1881.2</v>
      </c>
      <c r="AZ125" s="63">
        <v>5696.3641375742991</v>
      </c>
      <c r="BA125" s="63">
        <v>7577.5641375742989</v>
      </c>
      <c r="BC125" s="6"/>
      <c r="BD125" s="7"/>
      <c r="BE125" s="60"/>
      <c r="BF125" s="6" t="s">
        <v>34</v>
      </c>
      <c r="BG125" s="63">
        <v>1881.2</v>
      </c>
      <c r="BH125" s="63">
        <v>5855.9266255108278</v>
      </c>
      <c r="BI125" s="63">
        <v>7737.1266255108276</v>
      </c>
      <c r="BK125" s="6"/>
      <c r="BL125" s="7"/>
      <c r="BM125" s="60"/>
      <c r="BN125" s="6" t="s">
        <v>34</v>
      </c>
      <c r="BO125" s="63">
        <v>1881.2</v>
      </c>
      <c r="BP125" s="63">
        <v>5661.6191844152672</v>
      </c>
      <c r="BQ125" s="63">
        <v>7542.819184415267</v>
      </c>
    </row>
    <row r="126" spans="2:69">
      <c r="B126" s="73" t="s">
        <v>136</v>
      </c>
      <c r="C126" s="73"/>
      <c r="E126" s="6" t="s">
        <v>137</v>
      </c>
      <c r="X126" s="7" t="s">
        <v>92</v>
      </c>
      <c r="Y126" s="60" t="s">
        <v>95</v>
      </c>
      <c r="Z126" s="6" t="s">
        <v>50</v>
      </c>
      <c r="AA126" s="24">
        <v>2089.6999999999998</v>
      </c>
      <c r="AB126" s="24">
        <v>5743.9307910840953</v>
      </c>
      <c r="AC126" s="24">
        <v>7833.6307910840951</v>
      </c>
      <c r="AF126" s="7" t="s">
        <v>92</v>
      </c>
      <c r="AG126" s="60" t="s">
        <v>95</v>
      </c>
      <c r="AH126" s="6" t="s">
        <v>50</v>
      </c>
      <c r="AI126" s="24">
        <v>2089.6999999999998</v>
      </c>
      <c r="AJ126" s="24">
        <v>5766.2693912785717</v>
      </c>
      <c r="AK126" s="24">
        <v>7855.9693912785715</v>
      </c>
      <c r="AN126" s="7" t="s">
        <v>92</v>
      </c>
      <c r="AO126" s="60" t="s">
        <v>95</v>
      </c>
      <c r="AP126" s="6" t="s">
        <v>50</v>
      </c>
      <c r="AQ126" s="24">
        <v>2089.6999999999998</v>
      </c>
      <c r="AR126" s="24">
        <v>5596.5677588212257</v>
      </c>
      <c r="AS126" s="24">
        <v>7686.2677588212255</v>
      </c>
      <c r="AU126" s="6"/>
      <c r="AV126" s="7" t="s">
        <v>92</v>
      </c>
      <c r="AW126" s="60" t="s">
        <v>95</v>
      </c>
      <c r="AX126" s="6" t="s">
        <v>50</v>
      </c>
      <c r="AY126" s="63">
        <v>2089.6999999999998</v>
      </c>
      <c r="AZ126" s="63">
        <v>5972.2143152827357</v>
      </c>
      <c r="BA126" s="63">
        <v>8061.9143152827355</v>
      </c>
      <c r="BC126" s="6"/>
      <c r="BD126" s="7" t="s">
        <v>92</v>
      </c>
      <c r="BE126" s="60" t="s">
        <v>95</v>
      </c>
      <c r="BF126" s="6" t="s">
        <v>50</v>
      </c>
      <c r="BG126" s="63">
        <v>2089.6999999999998</v>
      </c>
      <c r="BH126" s="63">
        <v>5743.9307910840953</v>
      </c>
      <c r="BI126" s="63">
        <v>7833.6307910840951</v>
      </c>
      <c r="BK126" s="6"/>
      <c r="BL126" s="7" t="s">
        <v>92</v>
      </c>
      <c r="BM126" s="60" t="s">
        <v>95</v>
      </c>
      <c r="BN126" s="6" t="s">
        <v>50</v>
      </c>
      <c r="BO126" s="63">
        <v>2089.6999999999998</v>
      </c>
      <c r="BP126" s="63">
        <v>5882.60307079628</v>
      </c>
      <c r="BQ126" s="63">
        <v>7972.3030707962798</v>
      </c>
    </row>
    <row r="127" spans="2:69">
      <c r="B127" s="73" t="s">
        <v>138</v>
      </c>
      <c r="C127" s="73"/>
      <c r="E127" s="6" t="s">
        <v>139</v>
      </c>
      <c r="X127" s="7"/>
      <c r="Y127" s="60"/>
      <c r="Z127" s="6" t="s">
        <v>33</v>
      </c>
      <c r="AA127" s="24">
        <v>2089.6999999999998</v>
      </c>
      <c r="AB127" s="24">
        <v>5432.2766594036211</v>
      </c>
      <c r="AC127" s="24">
        <v>7521.9766594036209</v>
      </c>
      <c r="AF127" s="7"/>
      <c r="AG127" s="60"/>
      <c r="AH127" s="6" t="s">
        <v>33</v>
      </c>
      <c r="AI127" s="24">
        <v>2089.6999999999998</v>
      </c>
      <c r="AJ127" s="24">
        <v>5503.2216584618209</v>
      </c>
      <c r="AK127" s="24">
        <v>7592.9216584618207</v>
      </c>
      <c r="AN127" s="7"/>
      <c r="AO127" s="60"/>
      <c r="AP127" s="6" t="s">
        <v>33</v>
      </c>
      <c r="AQ127" s="24">
        <v>2089.6999999999998</v>
      </c>
      <c r="AR127" s="24">
        <v>5178.7865642537736</v>
      </c>
      <c r="AS127" s="24">
        <v>7268.4865642537734</v>
      </c>
      <c r="AU127" s="6"/>
      <c r="AV127" s="7"/>
      <c r="AW127" s="60"/>
      <c r="AX127" s="6" t="s">
        <v>33</v>
      </c>
      <c r="AY127" s="63">
        <v>2089.6999999999998</v>
      </c>
      <c r="AZ127" s="63">
        <v>5605.2313176591733</v>
      </c>
      <c r="BA127" s="63">
        <v>7694.9313176591731</v>
      </c>
      <c r="BC127" s="6"/>
      <c r="BD127" s="7"/>
      <c r="BE127" s="60"/>
      <c r="BF127" s="6" t="s">
        <v>33</v>
      </c>
      <c r="BG127" s="63">
        <v>2089.6999999999998</v>
      </c>
      <c r="BH127" s="63">
        <v>5432.2766594036211</v>
      </c>
      <c r="BI127" s="63">
        <v>7521.9766594036209</v>
      </c>
      <c r="BK127" s="6"/>
      <c r="BL127" s="7"/>
      <c r="BM127" s="60"/>
      <c r="BN127" s="6" t="s">
        <v>33</v>
      </c>
      <c r="BO127" s="63">
        <v>2089.6999999999998</v>
      </c>
      <c r="BP127" s="63">
        <v>5365.8069927539864</v>
      </c>
      <c r="BQ127" s="63">
        <v>7455.5069927539862</v>
      </c>
    </row>
    <row r="128" spans="2:69">
      <c r="B128" s="6" t="s">
        <v>140</v>
      </c>
      <c r="E128" s="6" t="s">
        <v>141</v>
      </c>
      <c r="G128" s="6" t="s">
        <v>142</v>
      </c>
      <c r="H128" s="6" t="s">
        <v>143</v>
      </c>
      <c r="X128" s="7"/>
      <c r="Y128" s="60"/>
      <c r="Z128" s="6" t="s">
        <v>34</v>
      </c>
      <c r="AA128" s="24">
        <v>2089.6999999999998</v>
      </c>
      <c r="AB128" s="24">
        <v>6055.5849227645676</v>
      </c>
      <c r="AC128" s="24">
        <v>8145.2849227645675</v>
      </c>
      <c r="AF128" s="7"/>
      <c r="AG128" s="60"/>
      <c r="AH128" s="6" t="s">
        <v>34</v>
      </c>
      <c r="AI128" s="24">
        <v>2089.6999999999998</v>
      </c>
      <c r="AJ128" s="24">
        <v>6029.3171240953225</v>
      </c>
      <c r="AK128" s="24">
        <v>8119.0171240953223</v>
      </c>
      <c r="AN128" s="7"/>
      <c r="AO128" s="60"/>
      <c r="AP128" s="6" t="s">
        <v>34</v>
      </c>
      <c r="AQ128" s="24">
        <v>2089.6999999999998</v>
      </c>
      <c r="AR128" s="24">
        <v>6014.3489533886777</v>
      </c>
      <c r="AS128" s="24">
        <v>8104.0489533886775</v>
      </c>
      <c r="AU128" s="6"/>
      <c r="AV128" s="7"/>
      <c r="AW128" s="60"/>
      <c r="AX128" s="6" t="s">
        <v>34</v>
      </c>
      <c r="AY128" s="63">
        <v>2089.6999999999998</v>
      </c>
      <c r="AZ128" s="63">
        <v>6339.1973129062981</v>
      </c>
      <c r="BA128" s="63">
        <v>8428.8973129062979</v>
      </c>
      <c r="BC128" s="6"/>
      <c r="BD128" s="7"/>
      <c r="BE128" s="60"/>
      <c r="BF128" s="6" t="s">
        <v>34</v>
      </c>
      <c r="BG128" s="63">
        <v>2089.6999999999998</v>
      </c>
      <c r="BH128" s="63">
        <v>6055.5849227645676</v>
      </c>
      <c r="BI128" s="63">
        <v>8145.2849227645675</v>
      </c>
      <c r="BK128" s="6"/>
      <c r="BL128" s="7"/>
      <c r="BM128" s="60"/>
      <c r="BN128" s="6" t="s">
        <v>34</v>
      </c>
      <c r="BO128" s="63">
        <v>2089.6999999999998</v>
      </c>
      <c r="BP128" s="63">
        <v>6399.3991488385736</v>
      </c>
      <c r="BQ128" s="63">
        <v>8489.0991488385735</v>
      </c>
    </row>
    <row r="129" spans="2:69">
      <c r="B129" s="6" t="s">
        <v>144</v>
      </c>
      <c r="E129" s="6" t="s">
        <v>145</v>
      </c>
      <c r="G129" s="6" t="s">
        <v>146</v>
      </c>
      <c r="H129" s="6" t="s">
        <v>147</v>
      </c>
      <c r="X129" s="7" t="s">
        <v>97</v>
      </c>
      <c r="Y129" s="60" t="s">
        <v>98</v>
      </c>
      <c r="Z129" s="6" t="s">
        <v>50</v>
      </c>
      <c r="AA129" s="24">
        <v>7280.5</v>
      </c>
      <c r="AB129" s="24">
        <v>20878.505275033174</v>
      </c>
      <c r="AC129" s="24">
        <v>28159.005275033174</v>
      </c>
      <c r="AF129" s="7" t="s">
        <v>97</v>
      </c>
      <c r="AG129" s="60" t="s">
        <v>98</v>
      </c>
      <c r="AH129" s="6" t="s">
        <v>50</v>
      </c>
      <c r="AI129" s="24">
        <v>7280.5</v>
      </c>
      <c r="AJ129" s="24">
        <v>20632.585802701848</v>
      </c>
      <c r="AK129" s="24">
        <v>27913.085802701848</v>
      </c>
      <c r="AN129" s="7" t="s">
        <v>97</v>
      </c>
      <c r="AO129" s="60" t="s">
        <v>98</v>
      </c>
      <c r="AP129" s="6" t="s">
        <v>50</v>
      </c>
      <c r="AQ129" s="24">
        <v>7280.5</v>
      </c>
      <c r="AR129" s="24">
        <v>20783.840869511467</v>
      </c>
      <c r="AS129" s="24">
        <v>28064.340869511467</v>
      </c>
      <c r="AU129" s="6"/>
      <c r="AV129" s="7" t="s">
        <v>97</v>
      </c>
      <c r="AW129" s="60" t="s">
        <v>98</v>
      </c>
      <c r="AX129" s="6" t="s">
        <v>50</v>
      </c>
      <c r="AY129" s="63">
        <v>7280.5</v>
      </c>
      <c r="AZ129" s="63">
        <v>21152.223036095686</v>
      </c>
      <c r="BA129" s="63">
        <v>28432.723036095686</v>
      </c>
      <c r="BC129" s="6"/>
      <c r="BD129" s="7" t="s">
        <v>97</v>
      </c>
      <c r="BE129" s="60" t="s">
        <v>98</v>
      </c>
      <c r="BF129" s="6" t="s">
        <v>50</v>
      </c>
      <c r="BG129" s="63">
        <v>7280.5</v>
      </c>
      <c r="BH129" s="63">
        <v>20878.505275033174</v>
      </c>
      <c r="BI129" s="63">
        <v>28159.005275033174</v>
      </c>
      <c r="BK129" s="6"/>
      <c r="BL129" s="7" t="s">
        <v>97</v>
      </c>
      <c r="BM129" s="60" t="s">
        <v>98</v>
      </c>
      <c r="BN129" s="6" t="s">
        <v>50</v>
      </c>
      <c r="BO129" s="63">
        <v>7280.5</v>
      </c>
      <c r="BP129" s="63">
        <v>20853.616556352157</v>
      </c>
      <c r="BQ129" s="63">
        <v>28134.116556352157</v>
      </c>
    </row>
    <row r="130" spans="2:69">
      <c r="B130" s="6" t="s">
        <v>148</v>
      </c>
      <c r="E130" s="6" t="s">
        <v>149</v>
      </c>
      <c r="X130" s="7"/>
      <c r="Y130" s="60"/>
      <c r="Z130" s="6" t="s">
        <v>33</v>
      </c>
      <c r="AA130" s="94">
        <v>7280.5</v>
      </c>
      <c r="AB130" s="24">
        <v>20347.478755960405</v>
      </c>
      <c r="AC130" s="24">
        <v>27627.978755960405</v>
      </c>
      <c r="AF130" s="7"/>
      <c r="AG130" s="60"/>
      <c r="AH130" s="6" t="s">
        <v>33</v>
      </c>
      <c r="AI130" s="94">
        <v>7280.5</v>
      </c>
      <c r="AJ130" s="24">
        <v>19502.515496852768</v>
      </c>
      <c r="AK130" s="24">
        <v>26783.015496852768</v>
      </c>
      <c r="AN130" s="7"/>
      <c r="AO130" s="60"/>
      <c r="AP130" s="6" t="s">
        <v>33</v>
      </c>
      <c r="AQ130" s="94">
        <v>7280.5</v>
      </c>
      <c r="AR130" s="24">
        <v>19542.812285452739</v>
      </c>
      <c r="AS130" s="24">
        <v>26823.312285452739</v>
      </c>
      <c r="AU130" s="6"/>
      <c r="AV130" s="7"/>
      <c r="AW130" s="60"/>
      <c r="AX130" s="6" t="s">
        <v>33</v>
      </c>
      <c r="AY130" s="95">
        <v>7280.5</v>
      </c>
      <c r="AZ130" s="63">
        <v>20111.638350756246</v>
      </c>
      <c r="BA130" s="63">
        <v>27392.138350756246</v>
      </c>
      <c r="BC130" s="6"/>
      <c r="BD130" s="7"/>
      <c r="BE130" s="60"/>
      <c r="BF130" s="6" t="s">
        <v>33</v>
      </c>
      <c r="BG130" s="95">
        <v>7280.5</v>
      </c>
      <c r="BH130" s="63">
        <v>20347.478755960405</v>
      </c>
      <c r="BI130" s="63">
        <v>27627.978755960405</v>
      </c>
      <c r="BK130" s="6"/>
      <c r="BL130" s="7"/>
      <c r="BM130" s="60"/>
      <c r="BN130" s="6" t="s">
        <v>33</v>
      </c>
      <c r="BO130" s="63">
        <v>7280.5</v>
      </c>
      <c r="BP130" s="63">
        <v>19672.257382860495</v>
      </c>
      <c r="BQ130" s="63">
        <v>26952.757382860495</v>
      </c>
    </row>
    <row r="131" spans="2:69">
      <c r="B131" s="6" t="s">
        <v>150</v>
      </c>
      <c r="E131" s="6" t="s">
        <v>151</v>
      </c>
      <c r="H131" s="6" t="s">
        <v>152</v>
      </c>
      <c r="X131" s="7"/>
      <c r="Y131" s="60"/>
      <c r="Z131" s="6" t="s">
        <v>34</v>
      </c>
      <c r="AA131" s="24">
        <v>7280.5</v>
      </c>
      <c r="AB131" s="24">
        <v>21409.531794105947</v>
      </c>
      <c r="AC131" s="24">
        <v>28690.031794105947</v>
      </c>
      <c r="AF131" s="7"/>
      <c r="AG131" s="60"/>
      <c r="AH131" s="6" t="s">
        <v>34</v>
      </c>
      <c r="AI131" s="24">
        <v>7280.5</v>
      </c>
      <c r="AJ131" s="24">
        <v>21762.656108550924</v>
      </c>
      <c r="AK131" s="24">
        <v>29043.156108550924</v>
      </c>
      <c r="AN131" s="7"/>
      <c r="AO131" s="60"/>
      <c r="AP131" s="6" t="s">
        <v>34</v>
      </c>
      <c r="AQ131" s="24">
        <v>7280.5</v>
      </c>
      <c r="AR131" s="24">
        <v>22024.869453570191</v>
      </c>
      <c r="AS131" s="24">
        <v>29305.369453570191</v>
      </c>
      <c r="AU131" s="6"/>
      <c r="AV131" s="7"/>
      <c r="AW131" s="60"/>
      <c r="AX131" s="6" t="s">
        <v>34</v>
      </c>
      <c r="AY131" s="63">
        <v>7280.5</v>
      </c>
      <c r="AZ131" s="63">
        <v>22192.807721435121</v>
      </c>
      <c r="BA131" s="63">
        <v>29473.307721435121</v>
      </c>
      <c r="BC131" s="6"/>
      <c r="BD131" s="7"/>
      <c r="BE131" s="60"/>
      <c r="BF131" s="6" t="s">
        <v>34</v>
      </c>
      <c r="BG131" s="63">
        <v>7280.5</v>
      </c>
      <c r="BH131" s="63">
        <v>21409.531794105947</v>
      </c>
      <c r="BI131" s="63">
        <v>28690.031794105947</v>
      </c>
      <c r="BK131" s="6"/>
      <c r="BL131" s="7"/>
      <c r="BM131" s="60"/>
      <c r="BN131" s="6" t="s">
        <v>34</v>
      </c>
      <c r="BO131" s="63">
        <v>7280.5</v>
      </c>
      <c r="BP131" s="63">
        <v>22034.97572984382</v>
      </c>
      <c r="BQ131" s="63">
        <v>29315.47572984382</v>
      </c>
    </row>
    <row r="132" spans="2:69">
      <c r="B132" s="6" t="s">
        <v>153</v>
      </c>
      <c r="E132" s="6" t="s">
        <v>151</v>
      </c>
      <c r="X132" s="7" t="s">
        <v>97</v>
      </c>
      <c r="Y132" s="60" t="s">
        <v>99</v>
      </c>
      <c r="Z132" s="6" t="s">
        <v>50</v>
      </c>
      <c r="AA132" s="24">
        <v>2064.9</v>
      </c>
      <c r="AB132" s="24">
        <v>6047.1974545454559</v>
      </c>
      <c r="AC132" s="24">
        <v>8112.0974545454555</v>
      </c>
      <c r="AF132" s="7" t="s">
        <v>97</v>
      </c>
      <c r="AG132" s="60" t="s">
        <v>99</v>
      </c>
      <c r="AH132" s="6" t="s">
        <v>50</v>
      </c>
      <c r="AI132" s="24">
        <v>2064.9</v>
      </c>
      <c r="AJ132" s="24">
        <v>6158.1128398419769</v>
      </c>
      <c r="AK132" s="24">
        <v>8223.0128398419765</v>
      </c>
      <c r="AN132" s="7" t="s">
        <v>97</v>
      </c>
      <c r="AO132" s="60" t="s">
        <v>99</v>
      </c>
      <c r="AP132" s="6" t="s">
        <v>50</v>
      </c>
      <c r="AQ132" s="24">
        <v>2064.9</v>
      </c>
      <c r="AR132" s="24">
        <v>6556.5307987712495</v>
      </c>
      <c r="AS132" s="24">
        <v>8621.4307987712491</v>
      </c>
      <c r="AU132" s="6"/>
      <c r="AV132" s="7" t="s">
        <v>97</v>
      </c>
      <c r="AW132" s="60" t="s">
        <v>99</v>
      </c>
      <c r="AX132" s="6" t="s">
        <v>50</v>
      </c>
      <c r="AY132" s="63">
        <v>2064.9</v>
      </c>
      <c r="AZ132" s="63">
        <v>6540.9548082888232</v>
      </c>
      <c r="BA132" s="63">
        <v>8605.8548082888228</v>
      </c>
      <c r="BC132" s="6"/>
      <c r="BD132" s="7" t="s">
        <v>97</v>
      </c>
      <c r="BE132" s="60" t="s">
        <v>99</v>
      </c>
      <c r="BF132" s="6" t="s">
        <v>50</v>
      </c>
      <c r="BG132" s="63">
        <v>2064.9</v>
      </c>
      <c r="BH132" s="63">
        <v>6047.1974545454559</v>
      </c>
      <c r="BI132" s="63">
        <v>8112.0974545454555</v>
      </c>
      <c r="BK132" s="6"/>
      <c r="BL132" s="7" t="s">
        <v>97</v>
      </c>
      <c r="BM132" s="60" t="s">
        <v>99</v>
      </c>
      <c r="BN132" s="6" t="s">
        <v>50</v>
      </c>
      <c r="BO132" s="63">
        <v>2064.9</v>
      </c>
      <c r="BP132" s="63">
        <v>6093.3444689453227</v>
      </c>
      <c r="BQ132" s="63">
        <v>8158.2444689453223</v>
      </c>
    </row>
    <row r="133" spans="2:69">
      <c r="B133" s="6" t="s">
        <v>154</v>
      </c>
      <c r="E133" s="6" t="s">
        <v>155</v>
      </c>
      <c r="Z133" s="6" t="s">
        <v>33</v>
      </c>
      <c r="AA133" s="24">
        <v>2064.9</v>
      </c>
      <c r="AB133" s="24">
        <v>5819.0818865616493</v>
      </c>
      <c r="AC133" s="24">
        <v>7883.9818865616489</v>
      </c>
      <c r="AH133" s="6" t="s">
        <v>33</v>
      </c>
      <c r="AI133" s="24">
        <v>2064.9</v>
      </c>
      <c r="AJ133" s="24">
        <v>5797.2543229142666</v>
      </c>
      <c r="AK133" s="24">
        <v>7862.1543229142662</v>
      </c>
      <c r="AP133" s="6" t="s">
        <v>33</v>
      </c>
      <c r="AQ133" s="24">
        <v>2064.9</v>
      </c>
      <c r="AR133" s="24">
        <v>5687.6453003339411</v>
      </c>
      <c r="AS133" s="24">
        <v>7752.5453003339408</v>
      </c>
      <c r="AU133" s="6"/>
      <c r="AX133" s="6" t="s">
        <v>33</v>
      </c>
      <c r="AY133" s="63">
        <v>2064.9</v>
      </c>
      <c r="AZ133" s="63">
        <v>5910.7847253538421</v>
      </c>
      <c r="BA133" s="63">
        <v>7975.6847253538417</v>
      </c>
      <c r="BC133" s="6"/>
      <c r="BF133" s="6" t="s">
        <v>33</v>
      </c>
      <c r="BG133" s="63">
        <v>2064.9</v>
      </c>
      <c r="BH133" s="63">
        <v>5819.0818865616493</v>
      </c>
      <c r="BI133" s="63">
        <v>7883.9818865616489</v>
      </c>
      <c r="BK133" s="6"/>
      <c r="BN133" s="6" t="s">
        <v>33</v>
      </c>
      <c r="BO133" s="63">
        <v>2064.9</v>
      </c>
      <c r="BP133" s="63">
        <v>5607.9045262102409</v>
      </c>
      <c r="BQ133" s="63">
        <v>7672.8045262102405</v>
      </c>
    </row>
    <row r="134" spans="2:69">
      <c r="H134" s="24"/>
      <c r="I134" s="24"/>
      <c r="J134" s="24"/>
      <c r="K134" s="24"/>
      <c r="L134" s="24"/>
      <c r="Z134" s="6" t="s">
        <v>34</v>
      </c>
      <c r="AA134" s="24">
        <v>2064.9</v>
      </c>
      <c r="AB134" s="24">
        <v>6275.3130225292607</v>
      </c>
      <c r="AC134" s="24">
        <v>8340.2130225292603</v>
      </c>
      <c r="AH134" s="6" t="s">
        <v>34</v>
      </c>
      <c r="AI134" s="24">
        <v>2064.9</v>
      </c>
      <c r="AJ134" s="24">
        <v>6518.9713567696872</v>
      </c>
      <c r="AK134" s="24">
        <v>8583.8713567696868</v>
      </c>
      <c r="AP134" s="6" t="s">
        <v>34</v>
      </c>
      <c r="AQ134" s="24">
        <v>2064.9</v>
      </c>
      <c r="AR134" s="24">
        <v>7425.416297208556</v>
      </c>
      <c r="AS134" s="24">
        <v>9490.3162972085556</v>
      </c>
      <c r="AU134" s="6"/>
      <c r="AX134" s="6" t="s">
        <v>34</v>
      </c>
      <c r="AY134" s="63">
        <v>2064.9</v>
      </c>
      <c r="AZ134" s="63">
        <v>7171.1248912238043</v>
      </c>
      <c r="BA134" s="63">
        <v>9236.0248912238039</v>
      </c>
      <c r="BC134" s="6"/>
      <c r="BF134" s="6" t="s">
        <v>34</v>
      </c>
      <c r="BG134" s="63">
        <v>2064.9</v>
      </c>
      <c r="BH134" s="63">
        <v>6275.3130225292607</v>
      </c>
      <c r="BI134" s="63">
        <v>8340.2130225292603</v>
      </c>
      <c r="BK134" s="6"/>
      <c r="BN134" s="6" t="s">
        <v>34</v>
      </c>
      <c r="BO134" s="63">
        <v>2064.9</v>
      </c>
      <c r="BP134" s="63">
        <v>6578.7844116804063</v>
      </c>
      <c r="BQ134" s="63">
        <v>8643.6844116804059</v>
      </c>
    </row>
    <row r="135" spans="2:69">
      <c r="B135" s="76" t="s">
        <v>156</v>
      </c>
      <c r="X135" s="7" t="s">
        <v>97</v>
      </c>
      <c r="Y135" s="60" t="s">
        <v>100</v>
      </c>
      <c r="Z135" s="6" t="s">
        <v>50</v>
      </c>
      <c r="AA135" s="24">
        <v>570</v>
      </c>
      <c r="AB135" s="24">
        <v>1564.8865454545448</v>
      </c>
      <c r="AC135" s="24">
        <v>2134.8865454545448</v>
      </c>
      <c r="AF135" s="7" t="s">
        <v>97</v>
      </c>
      <c r="AG135" s="60" t="s">
        <v>100</v>
      </c>
      <c r="AH135" s="6" t="s">
        <v>50</v>
      </c>
      <c r="AI135" s="24">
        <v>570</v>
      </c>
      <c r="AJ135" s="24">
        <v>1524.7064217799516</v>
      </c>
      <c r="AK135" s="24">
        <v>2094.7064217799516</v>
      </c>
      <c r="AN135" s="7" t="s">
        <v>97</v>
      </c>
      <c r="AO135" s="60" t="s">
        <v>100</v>
      </c>
      <c r="AP135" s="6" t="s">
        <v>50</v>
      </c>
      <c r="AQ135" s="24">
        <v>570</v>
      </c>
      <c r="AR135" s="24">
        <v>1709.9726916037339</v>
      </c>
      <c r="AS135" s="24">
        <v>2279.9726916037339</v>
      </c>
      <c r="AU135" s="6"/>
      <c r="AV135" s="7" t="s">
        <v>97</v>
      </c>
      <c r="AW135" s="60" t="s">
        <v>100</v>
      </c>
      <c r="AX135" s="6" t="s">
        <v>50</v>
      </c>
      <c r="AY135" s="63">
        <v>570</v>
      </c>
      <c r="AZ135" s="63">
        <v>1705.6342657342657</v>
      </c>
      <c r="BA135" s="63">
        <v>2275.6342657342657</v>
      </c>
      <c r="BC135" s="6"/>
      <c r="BD135" s="7" t="s">
        <v>97</v>
      </c>
      <c r="BE135" s="60" t="s">
        <v>100</v>
      </c>
      <c r="BF135" s="6" t="s">
        <v>50</v>
      </c>
      <c r="BG135" s="63">
        <v>570</v>
      </c>
      <c r="BH135" s="63">
        <v>1564.8865454545448</v>
      </c>
      <c r="BI135" s="63">
        <v>2134.8865454545448</v>
      </c>
      <c r="BK135" s="6"/>
      <c r="BL135" s="7" t="s">
        <v>97</v>
      </c>
      <c r="BM135" s="60" t="s">
        <v>100</v>
      </c>
      <c r="BN135" s="6" t="s">
        <v>50</v>
      </c>
      <c r="BO135" s="63">
        <v>570</v>
      </c>
      <c r="BP135" s="63">
        <v>1671.9650357737564</v>
      </c>
      <c r="BQ135" s="63">
        <v>2241.9650357737564</v>
      </c>
    </row>
    <row r="136" spans="2:69">
      <c r="B136" s="78" t="s">
        <v>157</v>
      </c>
      <c r="Z136" s="6" t="s">
        <v>33</v>
      </c>
      <c r="AA136" s="24">
        <v>570</v>
      </c>
      <c r="AB136" s="24">
        <v>1424.655510033072</v>
      </c>
      <c r="AC136" s="24">
        <v>1994.655510033072</v>
      </c>
      <c r="AH136" s="6" t="s">
        <v>33</v>
      </c>
      <c r="AI136" s="24">
        <v>570</v>
      </c>
      <c r="AJ136" s="24">
        <v>1411.2059797305585</v>
      </c>
      <c r="AK136" s="24">
        <v>1981.2059797305585</v>
      </c>
      <c r="AP136" s="6" t="s">
        <v>33</v>
      </c>
      <c r="AQ136" s="24">
        <v>570</v>
      </c>
      <c r="AR136" s="24">
        <v>1477.162577586837</v>
      </c>
      <c r="AS136" s="24">
        <v>2047.162577586837</v>
      </c>
      <c r="AU136" s="6"/>
      <c r="AX136" s="6" t="s">
        <v>33</v>
      </c>
      <c r="AY136" s="63">
        <v>570</v>
      </c>
      <c r="AZ136" s="63">
        <v>1567.2742025476919</v>
      </c>
      <c r="BA136" s="63">
        <v>2137.2742025476919</v>
      </c>
      <c r="BC136" s="6"/>
      <c r="BF136" s="6" t="s">
        <v>33</v>
      </c>
      <c r="BG136" s="63">
        <v>570</v>
      </c>
      <c r="BH136" s="63">
        <v>1424.655510033072</v>
      </c>
      <c r="BI136" s="63">
        <v>1994.655510033072</v>
      </c>
      <c r="BK136" s="6"/>
      <c r="BN136" s="6" t="s">
        <v>33</v>
      </c>
      <c r="BO136" s="63">
        <v>570</v>
      </c>
      <c r="BP136" s="63">
        <v>1377.6130242402783</v>
      </c>
      <c r="BQ136" s="63">
        <v>1947.6130242402783</v>
      </c>
    </row>
    <row r="137" spans="2:69">
      <c r="Z137" s="6" t="s">
        <v>34</v>
      </c>
      <c r="AA137" s="24">
        <v>570</v>
      </c>
      <c r="AB137" s="24">
        <v>1705.1175808760177</v>
      </c>
      <c r="AC137" s="24">
        <v>2275.1175808760177</v>
      </c>
      <c r="AH137" s="6" t="s">
        <v>34</v>
      </c>
      <c r="AI137" s="24">
        <v>570</v>
      </c>
      <c r="AJ137" s="24">
        <v>1638.2068638293449</v>
      </c>
      <c r="AK137" s="24">
        <v>2208.2068638293449</v>
      </c>
      <c r="AP137" s="6" t="s">
        <v>34</v>
      </c>
      <c r="AQ137" s="24">
        <v>570</v>
      </c>
      <c r="AR137" s="24">
        <v>1942.7828056206308</v>
      </c>
      <c r="AS137" s="24">
        <v>2512.7828056206308</v>
      </c>
      <c r="AU137" s="6"/>
      <c r="AX137" s="6" t="s">
        <v>34</v>
      </c>
      <c r="AY137" s="63">
        <v>570</v>
      </c>
      <c r="AZ137" s="63">
        <v>1843.9943289208395</v>
      </c>
      <c r="BA137" s="63">
        <v>2413.9943289208395</v>
      </c>
      <c r="BC137" s="6"/>
      <c r="BF137" s="6" t="s">
        <v>34</v>
      </c>
      <c r="BG137" s="63">
        <v>570</v>
      </c>
      <c r="BH137" s="63">
        <v>1705.1175808760177</v>
      </c>
      <c r="BI137" s="63">
        <v>2275.1175808760177</v>
      </c>
      <c r="BK137" s="6"/>
      <c r="BN137" s="6" t="s">
        <v>34</v>
      </c>
      <c r="BO137" s="63">
        <v>570</v>
      </c>
      <c r="BP137" s="63">
        <v>1966.317047307235</v>
      </c>
      <c r="BQ137" s="63">
        <v>2536.317047307235</v>
      </c>
    </row>
    <row r="138" spans="2:69">
      <c r="X138" s="7" t="s">
        <v>101</v>
      </c>
      <c r="Y138" s="60" t="s">
        <v>102</v>
      </c>
      <c r="Z138" s="6" t="s">
        <v>50</v>
      </c>
      <c r="AA138" s="24">
        <v>8188</v>
      </c>
      <c r="AB138" s="24">
        <v>23732.564785583188</v>
      </c>
      <c r="AC138" s="24">
        <v>31920.564785583188</v>
      </c>
      <c r="AF138" s="7" t="s">
        <v>101</v>
      </c>
      <c r="AG138" s="60" t="s">
        <v>102</v>
      </c>
      <c r="AH138" s="6" t="s">
        <v>50</v>
      </c>
      <c r="AI138" s="24">
        <v>8188</v>
      </c>
      <c r="AJ138" s="24">
        <v>23342.589206812238</v>
      </c>
      <c r="AK138" s="24">
        <v>31530.589206812238</v>
      </c>
      <c r="AN138" s="7" t="s">
        <v>101</v>
      </c>
      <c r="AO138" s="60" t="s">
        <v>102</v>
      </c>
      <c r="AP138" s="6" t="s">
        <v>50</v>
      </c>
      <c r="AQ138" s="24">
        <v>8188</v>
      </c>
      <c r="AR138" s="24">
        <v>23639.102935077535</v>
      </c>
      <c r="AS138" s="24">
        <v>31827.102935077535</v>
      </c>
      <c r="AU138" s="6"/>
      <c r="AV138" s="7" t="s">
        <v>101</v>
      </c>
      <c r="AW138" s="60" t="s">
        <v>102</v>
      </c>
      <c r="AX138" s="6" t="s">
        <v>50</v>
      </c>
      <c r="AY138" s="63">
        <v>8188</v>
      </c>
      <c r="AZ138" s="63">
        <v>24085.311487149433</v>
      </c>
      <c r="BA138" s="63">
        <v>32273.311487149433</v>
      </c>
      <c r="BC138" s="6"/>
      <c r="BD138" s="7" t="s">
        <v>101</v>
      </c>
      <c r="BE138" s="60" t="s">
        <v>102</v>
      </c>
      <c r="BF138" s="6" t="s">
        <v>50</v>
      </c>
      <c r="BG138" s="63">
        <v>8188</v>
      </c>
      <c r="BH138" s="63">
        <v>23732.564785583188</v>
      </c>
      <c r="BI138" s="63">
        <v>31920.564785583188</v>
      </c>
      <c r="BK138" s="6"/>
      <c r="BL138" s="7" t="s">
        <v>101</v>
      </c>
      <c r="BM138" s="60" t="s">
        <v>102</v>
      </c>
      <c r="BN138" s="6" t="s">
        <v>50</v>
      </c>
      <c r="BO138" s="63">
        <v>8188</v>
      </c>
      <c r="BP138" s="63">
        <v>23633.047530757431</v>
      </c>
      <c r="BQ138" s="63">
        <v>31821.047530757431</v>
      </c>
    </row>
    <row r="139" spans="2:69">
      <c r="B139" s="96" t="s">
        <v>158</v>
      </c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Z139" s="6" t="s">
        <v>33</v>
      </c>
      <c r="AA139" s="24">
        <v>8188</v>
      </c>
      <c r="AB139" s="24">
        <v>22950.707791218876</v>
      </c>
      <c r="AC139" s="24">
        <v>31138.707791218876</v>
      </c>
      <c r="AH139" s="6" t="s">
        <v>33</v>
      </c>
      <c r="AI139" s="24">
        <v>8188</v>
      </c>
      <c r="AJ139" s="24">
        <v>22409.998560956919</v>
      </c>
      <c r="AK139" s="24">
        <v>30597.998560956919</v>
      </c>
      <c r="AP139" s="6" t="s">
        <v>33</v>
      </c>
      <c r="AQ139" s="24">
        <v>8188</v>
      </c>
      <c r="AR139" s="24">
        <v>22120.52222821513</v>
      </c>
      <c r="AS139" s="24">
        <v>30308.52222821513</v>
      </c>
      <c r="AU139" s="6"/>
      <c r="AX139" s="6" t="s">
        <v>33</v>
      </c>
      <c r="AY139" s="63">
        <v>8188</v>
      </c>
      <c r="AZ139" s="63">
        <v>22899.375138760715</v>
      </c>
      <c r="BA139" s="63">
        <v>31087.375138760715</v>
      </c>
      <c r="BC139" s="6"/>
      <c r="BF139" s="6" t="s">
        <v>33</v>
      </c>
      <c r="BG139" s="63">
        <v>8188</v>
      </c>
      <c r="BH139" s="63">
        <v>22950.707791218876</v>
      </c>
      <c r="BI139" s="63">
        <v>31138.707791218876</v>
      </c>
      <c r="BK139" s="6"/>
      <c r="BN139" s="6" t="s">
        <v>33</v>
      </c>
      <c r="BO139" s="63">
        <v>8188</v>
      </c>
      <c r="BP139" s="63">
        <v>22361.236496783204</v>
      </c>
      <c r="BQ139" s="63">
        <v>30549.236496783204</v>
      </c>
    </row>
    <row r="140" spans="2:69"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Z140" s="6" t="s">
        <v>34</v>
      </c>
      <c r="AA140" s="24">
        <v>8188</v>
      </c>
      <c r="AB140" s="24">
        <v>24514.421779947494</v>
      </c>
      <c r="AC140" s="24">
        <v>32702.421779947494</v>
      </c>
      <c r="AH140" s="6" t="s">
        <v>34</v>
      </c>
      <c r="AI140" s="24">
        <v>8188</v>
      </c>
      <c r="AJ140" s="24">
        <v>24275.179852667556</v>
      </c>
      <c r="AK140" s="24">
        <v>32463.179852667556</v>
      </c>
      <c r="AP140" s="6" t="s">
        <v>34</v>
      </c>
      <c r="AQ140" s="24">
        <v>8188</v>
      </c>
      <c r="AR140" s="24">
        <v>25157.683641939926</v>
      </c>
      <c r="AS140" s="24">
        <v>33345.683641939926</v>
      </c>
      <c r="AU140" s="6"/>
      <c r="AX140" s="6" t="s">
        <v>34</v>
      </c>
      <c r="AY140" s="63">
        <v>8188</v>
      </c>
      <c r="AZ140" s="63">
        <v>25271.247835538154</v>
      </c>
      <c r="BA140" s="63">
        <v>33459.247835538154</v>
      </c>
      <c r="BC140" s="6"/>
      <c r="BF140" s="6" t="s">
        <v>34</v>
      </c>
      <c r="BG140" s="63">
        <v>8188</v>
      </c>
      <c r="BH140" s="63">
        <v>24514.421779947494</v>
      </c>
      <c r="BI140" s="63">
        <v>32702.421779947494</v>
      </c>
      <c r="BK140" s="6"/>
      <c r="BN140" s="6" t="s">
        <v>34</v>
      </c>
      <c r="BO140" s="63">
        <v>8188</v>
      </c>
      <c r="BP140" s="63">
        <v>24904.858564731665</v>
      </c>
      <c r="BQ140" s="63">
        <v>33092.858564731665</v>
      </c>
    </row>
    <row r="141" spans="2:69"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X141" s="7" t="s">
        <v>101</v>
      </c>
      <c r="Y141" s="60" t="s">
        <v>103</v>
      </c>
      <c r="Z141" s="6" t="s">
        <v>50</v>
      </c>
      <c r="AA141" s="24">
        <v>1130.4000000000001</v>
      </c>
      <c r="AB141" s="24">
        <v>3239.1453019875212</v>
      </c>
      <c r="AC141" s="24">
        <v>4369.5453019875213</v>
      </c>
      <c r="AF141" s="7" t="s">
        <v>101</v>
      </c>
      <c r="AG141" s="60" t="s">
        <v>103</v>
      </c>
      <c r="AH141" s="6" t="s">
        <v>50</v>
      </c>
      <c r="AI141" s="24">
        <v>1130.4000000000001</v>
      </c>
      <c r="AJ141" s="24">
        <v>3347.5000337400702</v>
      </c>
      <c r="AK141" s="24">
        <v>4477.9000337400703</v>
      </c>
      <c r="AN141" s="7" t="s">
        <v>101</v>
      </c>
      <c r="AO141" s="60" t="s">
        <v>103</v>
      </c>
      <c r="AP141" s="6" t="s">
        <v>50</v>
      </c>
      <c r="AQ141" s="24">
        <v>1130.4000000000001</v>
      </c>
      <c r="AR141" s="24">
        <v>3259.4136707094253</v>
      </c>
      <c r="AS141" s="24">
        <v>4389.8136707094254</v>
      </c>
      <c r="AU141" s="6"/>
      <c r="AV141" s="7" t="s">
        <v>101</v>
      </c>
      <c r="AW141" s="60" t="s">
        <v>103</v>
      </c>
      <c r="AX141" s="6" t="s">
        <v>50</v>
      </c>
      <c r="AY141" s="63">
        <v>1130.4000000000001</v>
      </c>
      <c r="AZ141" s="63">
        <v>3305.5157462615493</v>
      </c>
      <c r="BA141" s="63">
        <v>4435.9157462615494</v>
      </c>
      <c r="BC141" s="6"/>
      <c r="BD141" s="7" t="s">
        <v>101</v>
      </c>
      <c r="BE141" s="60" t="s">
        <v>103</v>
      </c>
      <c r="BF141" s="6" t="s">
        <v>50</v>
      </c>
      <c r="BG141" s="63">
        <v>1130.4000000000001</v>
      </c>
      <c r="BH141" s="63">
        <v>3239.1453019875212</v>
      </c>
      <c r="BI141" s="63">
        <v>4369.5453019875213</v>
      </c>
      <c r="BK141" s="6"/>
      <c r="BL141" s="7" t="s">
        <v>101</v>
      </c>
      <c r="BM141" s="60" t="s">
        <v>103</v>
      </c>
      <c r="BN141" s="6" t="s">
        <v>50</v>
      </c>
      <c r="BO141" s="63">
        <v>1130.4000000000001</v>
      </c>
      <c r="BP141" s="63">
        <v>3139.7252623265572</v>
      </c>
      <c r="BQ141" s="63">
        <v>4270.1252623265573</v>
      </c>
    </row>
    <row r="142" spans="2:69">
      <c r="Z142" s="6" t="s">
        <v>33</v>
      </c>
      <c r="AA142" s="24">
        <v>1130.4000000000001</v>
      </c>
      <c r="AB142" s="24">
        <v>3065.390702969104</v>
      </c>
      <c r="AC142" s="24">
        <v>4195.7907029691041</v>
      </c>
      <c r="AH142" s="6" t="s">
        <v>33</v>
      </c>
      <c r="AI142" s="24">
        <v>1130.4000000000001</v>
      </c>
      <c r="AJ142" s="24">
        <v>3168.1498956614118</v>
      </c>
      <c r="AK142" s="24">
        <v>4298.5498956614119</v>
      </c>
      <c r="AP142" s="6" t="s">
        <v>33</v>
      </c>
      <c r="AQ142" s="24">
        <v>1130.4000000000001</v>
      </c>
      <c r="AR142" s="24">
        <v>2958.4281454626066</v>
      </c>
      <c r="AS142" s="24">
        <v>4088.8281454626067</v>
      </c>
      <c r="AU142" s="6"/>
      <c r="AX142" s="6" t="s">
        <v>33</v>
      </c>
      <c r="AY142" s="63">
        <v>1130.4000000000001</v>
      </c>
      <c r="AZ142" s="63">
        <v>3080.1050896341389</v>
      </c>
      <c r="BA142" s="63">
        <v>4210.505089634139</v>
      </c>
      <c r="BC142" s="6"/>
      <c r="BF142" s="6" t="s">
        <v>33</v>
      </c>
      <c r="BG142" s="63">
        <v>1130.4000000000001</v>
      </c>
      <c r="BH142" s="63">
        <v>3065.390702969104</v>
      </c>
      <c r="BI142" s="63">
        <v>4195.7907029691041</v>
      </c>
      <c r="BK142" s="6"/>
      <c r="BN142" s="6" t="s">
        <v>33</v>
      </c>
      <c r="BO142" s="63">
        <v>1130.4000000000001</v>
      </c>
      <c r="BP142" s="63">
        <v>2995.4546039211396</v>
      </c>
      <c r="BQ142" s="63">
        <v>4125.8546039211396</v>
      </c>
    </row>
    <row r="143" spans="2:69">
      <c r="X143" s="10"/>
      <c r="Y143" s="10"/>
      <c r="Z143" s="6" t="s">
        <v>34</v>
      </c>
      <c r="AA143" s="24">
        <v>1130.4000000000001</v>
      </c>
      <c r="AB143" s="24">
        <v>3412.8999010059374</v>
      </c>
      <c r="AC143" s="24">
        <v>4543.2999010059375</v>
      </c>
      <c r="AF143" s="10"/>
      <c r="AG143" s="10"/>
      <c r="AH143" s="6" t="s">
        <v>34</v>
      </c>
      <c r="AI143" s="24">
        <v>1130.4000000000001</v>
      </c>
      <c r="AJ143" s="24">
        <v>3526.8501718187304</v>
      </c>
      <c r="AK143" s="24">
        <v>4657.2501718187305</v>
      </c>
      <c r="AN143" s="10"/>
      <c r="AO143" s="10"/>
      <c r="AP143" s="6" t="s">
        <v>34</v>
      </c>
      <c r="AQ143" s="24">
        <v>1130.4000000000001</v>
      </c>
      <c r="AR143" s="24">
        <v>3560.3991959562459</v>
      </c>
      <c r="AS143" s="24">
        <v>4690.799195956246</v>
      </c>
      <c r="AU143" s="6"/>
      <c r="AV143" s="41"/>
      <c r="AW143" s="41"/>
      <c r="AX143" s="6" t="s">
        <v>34</v>
      </c>
      <c r="AY143" s="63">
        <v>1130.4000000000001</v>
      </c>
      <c r="AZ143" s="63">
        <v>3530.9264028889579</v>
      </c>
      <c r="BA143" s="63">
        <v>4661.326402888958</v>
      </c>
      <c r="BC143" s="6"/>
      <c r="BD143" s="41"/>
      <c r="BE143" s="41"/>
      <c r="BF143" s="6" t="s">
        <v>34</v>
      </c>
      <c r="BG143" s="63">
        <v>1130.4000000000001</v>
      </c>
      <c r="BH143" s="63">
        <v>3412.8999010059374</v>
      </c>
      <c r="BI143" s="63">
        <v>4543.2999010059375</v>
      </c>
      <c r="BK143" s="6"/>
      <c r="BL143" s="41"/>
      <c r="BM143" s="41"/>
      <c r="BN143" s="6" t="s">
        <v>34</v>
      </c>
      <c r="BO143" s="63">
        <v>1130.4000000000001</v>
      </c>
      <c r="BP143" s="63">
        <v>3283.9959207319748</v>
      </c>
      <c r="BQ143" s="63">
        <v>4414.3959207319749</v>
      </c>
    </row>
    <row r="144" spans="2:69">
      <c r="X144" s="7" t="s">
        <v>101</v>
      </c>
      <c r="Y144" s="60" t="s">
        <v>104</v>
      </c>
      <c r="Z144" s="6" t="s">
        <v>50</v>
      </c>
      <c r="AA144" s="24">
        <v>596.70000000000005</v>
      </c>
      <c r="AB144" s="24">
        <v>1645.8894545454548</v>
      </c>
      <c r="AC144" s="24">
        <v>2242.5894545454548</v>
      </c>
      <c r="AF144" s="7" t="s">
        <v>101</v>
      </c>
      <c r="AG144" s="60" t="s">
        <v>104</v>
      </c>
      <c r="AH144" s="6" t="s">
        <v>50</v>
      </c>
      <c r="AI144" s="24">
        <v>596.70000000000005</v>
      </c>
      <c r="AJ144" s="24">
        <v>1590.6601201738661</v>
      </c>
      <c r="AK144" s="24">
        <v>2187.3601201738661</v>
      </c>
      <c r="AN144" s="7" t="s">
        <v>101</v>
      </c>
      <c r="AO144" s="60" t="s">
        <v>104</v>
      </c>
      <c r="AP144" s="6" t="s">
        <v>50</v>
      </c>
      <c r="AQ144" s="24">
        <v>596.70000000000005</v>
      </c>
      <c r="AR144" s="24">
        <v>1768.3790281191471</v>
      </c>
      <c r="AS144" s="24">
        <v>2365.0790281191471</v>
      </c>
      <c r="AV144" s="7" t="s">
        <v>101</v>
      </c>
      <c r="AW144" s="60" t="s">
        <v>104</v>
      </c>
      <c r="AX144" s="6" t="s">
        <v>50</v>
      </c>
      <c r="AY144" s="63">
        <v>596.70000000000005</v>
      </c>
      <c r="AZ144" s="63">
        <v>1771.5328671328673</v>
      </c>
      <c r="BA144" s="63">
        <v>2368.2328671328673</v>
      </c>
      <c r="BD144" s="7" t="s">
        <v>101</v>
      </c>
      <c r="BE144" s="60" t="s">
        <v>104</v>
      </c>
      <c r="BF144" s="6" t="s">
        <v>50</v>
      </c>
      <c r="BG144" s="63">
        <v>596.70000000000005</v>
      </c>
      <c r="BH144" s="63">
        <v>1645.8894545454548</v>
      </c>
      <c r="BI144" s="63">
        <v>2242.5894545454548</v>
      </c>
      <c r="BL144" s="7" t="s">
        <v>101</v>
      </c>
      <c r="BM144" s="60" t="s">
        <v>104</v>
      </c>
      <c r="BN144" s="6" t="s">
        <v>50</v>
      </c>
      <c r="BO144" s="63">
        <v>596.70000000000005</v>
      </c>
      <c r="BP144" s="63">
        <v>1810.664356407751</v>
      </c>
      <c r="BQ144" s="63">
        <v>2407.3643564077511</v>
      </c>
    </row>
    <row r="145" spans="20:69">
      <c r="Z145" s="6" t="s">
        <v>33</v>
      </c>
      <c r="AA145" s="24">
        <v>596.70000000000005</v>
      </c>
      <c r="AB145" s="24">
        <v>1522.7584239063206</v>
      </c>
      <c r="AC145" s="24">
        <v>2119.4584239063206</v>
      </c>
      <c r="AH145" s="6" t="s">
        <v>33</v>
      </c>
      <c r="AI145" s="24">
        <v>596.70000000000005</v>
      </c>
      <c r="AJ145" s="24">
        <v>1497.0474153964667</v>
      </c>
      <c r="AK145" s="24">
        <v>2093.7474153964667</v>
      </c>
      <c r="AP145" s="6" t="s">
        <v>33</v>
      </c>
      <c r="AQ145" s="24">
        <v>596.70000000000005</v>
      </c>
      <c r="AR145" s="24">
        <v>1553.7682494430958</v>
      </c>
      <c r="AS145" s="24">
        <v>2150.4682494430958</v>
      </c>
      <c r="AU145" s="6"/>
      <c r="AV145" s="6"/>
      <c r="AW145" s="6"/>
      <c r="AX145" s="6" t="s">
        <v>33</v>
      </c>
      <c r="AY145" s="63">
        <v>596.70000000000005</v>
      </c>
      <c r="AZ145" s="63">
        <v>1660.4737354000629</v>
      </c>
      <c r="BA145" s="63">
        <v>2257.1737354000629</v>
      </c>
      <c r="BC145" s="6"/>
      <c r="BD145" s="6"/>
      <c r="BE145" s="6"/>
      <c r="BF145" s="6" t="s">
        <v>33</v>
      </c>
      <c r="BG145" s="63">
        <v>596.70000000000005</v>
      </c>
      <c r="BH145" s="63">
        <v>1522.7584239063206</v>
      </c>
      <c r="BI145" s="63">
        <v>2119.4584239063206</v>
      </c>
      <c r="BK145" s="6"/>
      <c r="BL145" s="6"/>
      <c r="BM145" s="6"/>
      <c r="BN145" s="6" t="s">
        <v>33</v>
      </c>
      <c r="BO145" s="63">
        <v>596.70000000000005</v>
      </c>
      <c r="BP145" s="63">
        <v>1545.7298403459242</v>
      </c>
      <c r="BQ145" s="63">
        <v>2142.4298403459243</v>
      </c>
    </row>
    <row r="146" spans="20:69">
      <c r="Z146" s="6" t="s">
        <v>34</v>
      </c>
      <c r="AA146" s="24">
        <v>596.70000000000005</v>
      </c>
      <c r="AB146" s="24">
        <v>1769.0204851845895</v>
      </c>
      <c r="AC146" s="24">
        <v>2365.7204851845895</v>
      </c>
      <c r="AH146" s="6" t="s">
        <v>34</v>
      </c>
      <c r="AI146" s="24">
        <v>596.70000000000005</v>
      </c>
      <c r="AJ146" s="24">
        <v>1684.2728249512645</v>
      </c>
      <c r="AK146" s="24">
        <v>2280.9728249512646</v>
      </c>
      <c r="AP146" s="6" t="s">
        <v>34</v>
      </c>
      <c r="AQ146" s="24">
        <v>596.70000000000005</v>
      </c>
      <c r="AR146" s="24">
        <v>1982.9898067951992</v>
      </c>
      <c r="AS146" s="24">
        <v>2579.6898067951993</v>
      </c>
      <c r="AU146" s="6"/>
      <c r="AV146" s="6"/>
      <c r="AW146" s="6"/>
      <c r="AX146" s="6" t="s">
        <v>34</v>
      </c>
      <c r="AY146" s="63">
        <v>596.70000000000005</v>
      </c>
      <c r="AZ146" s="63">
        <v>1882.5919988656713</v>
      </c>
      <c r="BA146" s="63">
        <v>2479.2919988656713</v>
      </c>
      <c r="BC146" s="6"/>
      <c r="BD146" s="6"/>
      <c r="BE146" s="6"/>
      <c r="BF146" s="6" t="s">
        <v>34</v>
      </c>
      <c r="BG146" s="63">
        <v>596.70000000000005</v>
      </c>
      <c r="BH146" s="63">
        <v>1769.0204851845895</v>
      </c>
      <c r="BI146" s="63">
        <v>2365.7204851845895</v>
      </c>
      <c r="BK146" s="6"/>
      <c r="BL146" s="6"/>
      <c r="BM146" s="6"/>
      <c r="BN146" s="6" t="s">
        <v>34</v>
      </c>
      <c r="BO146" s="63">
        <v>596.70000000000005</v>
      </c>
      <c r="BP146" s="63">
        <v>2075.5988724695781</v>
      </c>
      <c r="BQ146" s="63">
        <v>2672.2988724695779</v>
      </c>
    </row>
    <row r="147" spans="20:69">
      <c r="AF147" s="7"/>
      <c r="AG147" s="60"/>
      <c r="AI147" s="24"/>
      <c r="AJ147" s="24"/>
      <c r="AK147" s="24"/>
      <c r="AN147" s="7"/>
      <c r="AO147" s="60"/>
      <c r="AQ147" s="24"/>
      <c r="AR147" s="24"/>
      <c r="AS147" s="24"/>
      <c r="AU147" s="6"/>
      <c r="AV147" s="7"/>
      <c r="AW147" s="60"/>
      <c r="AX147" s="6"/>
      <c r="AY147" s="24">
        <v>5944.2</v>
      </c>
      <c r="AZ147" s="37">
        <v>17671.122247719784</v>
      </c>
      <c r="BA147" s="24">
        <v>23615.322247719785</v>
      </c>
    </row>
    <row r="148" spans="20:69">
      <c r="W148" s="6" t="s">
        <v>159</v>
      </c>
      <c r="AI148" s="24"/>
      <c r="AJ148" s="24"/>
      <c r="AK148" s="24"/>
      <c r="AQ148" s="24"/>
      <c r="AR148" s="24"/>
      <c r="AS148" s="24"/>
      <c r="AU148" s="6"/>
      <c r="AV148" s="6"/>
      <c r="AW148" s="6"/>
      <c r="AX148" s="6"/>
      <c r="AY148" s="24"/>
      <c r="AZ148" s="24"/>
      <c r="BA148" s="24"/>
    </row>
    <row r="149" spans="20:69">
      <c r="AI149" s="24"/>
      <c r="AJ149" s="24"/>
      <c r="AK149" s="24"/>
      <c r="AQ149" s="24"/>
      <c r="AR149" s="24"/>
      <c r="AS149" s="24"/>
      <c r="AU149" s="6"/>
      <c r="AV149" s="6"/>
      <c r="AW149" s="6"/>
      <c r="AX149" s="6"/>
      <c r="AY149" s="24"/>
      <c r="AZ149" s="24"/>
      <c r="BA149" s="24"/>
    </row>
    <row r="150" spans="20:69">
      <c r="AF150" s="7"/>
      <c r="AG150" s="60"/>
      <c r="AI150" s="24"/>
      <c r="AJ150" s="24"/>
      <c r="AK150" s="24"/>
      <c r="AQ150" s="24"/>
      <c r="AR150" s="24"/>
      <c r="AS150" s="24"/>
      <c r="AU150" s="6"/>
      <c r="AV150" s="7"/>
      <c r="AW150" s="60"/>
      <c r="AX150" s="6"/>
      <c r="AY150" s="24"/>
      <c r="AZ150" s="24"/>
      <c r="BA150" s="24"/>
    </row>
    <row r="151" spans="20:69">
      <c r="AI151" s="24"/>
      <c r="AJ151" s="24"/>
      <c r="AK151" s="24"/>
      <c r="AQ151" s="24"/>
      <c r="AR151" s="24"/>
      <c r="AS151" s="24"/>
      <c r="AU151" s="6"/>
      <c r="AV151" s="6"/>
      <c r="AW151" s="6"/>
      <c r="AX151" s="6"/>
      <c r="AY151" s="24"/>
      <c r="AZ151" s="24"/>
      <c r="BA151" s="24"/>
    </row>
    <row r="152" spans="20:69">
      <c r="AI152" s="24"/>
      <c r="AJ152" s="24"/>
      <c r="AK152" s="24"/>
      <c r="AN152" s="7"/>
      <c r="AO152" s="60"/>
      <c r="AQ152" s="24"/>
      <c r="AR152" s="24"/>
      <c r="AS152" s="24"/>
      <c r="AU152" s="6"/>
      <c r="AV152" s="7"/>
      <c r="AW152" s="60"/>
      <c r="AX152" s="6"/>
      <c r="AY152" s="24"/>
      <c r="AZ152" s="24"/>
      <c r="BA152" s="24"/>
    </row>
    <row r="153" spans="20:69">
      <c r="T153" s="59" t="s">
        <v>160</v>
      </c>
      <c r="AF153" s="7"/>
      <c r="AG153" s="60"/>
      <c r="AI153" s="24"/>
      <c r="AJ153" s="24"/>
      <c r="AK153" s="24"/>
      <c r="AQ153" s="24"/>
      <c r="AR153" s="24"/>
      <c r="AS153" s="24"/>
      <c r="AU153" s="6"/>
      <c r="AV153" s="6"/>
      <c r="AW153" s="6"/>
      <c r="AX153" s="6"/>
      <c r="AY153" s="24"/>
      <c r="AZ153" s="24"/>
      <c r="BA153" s="24"/>
    </row>
    <row r="154" spans="20:69">
      <c r="U154" s="10" t="s">
        <v>59</v>
      </c>
      <c r="V154" s="10" t="s">
        <v>60</v>
      </c>
      <c r="W154" s="10" t="s">
        <v>61</v>
      </c>
      <c r="X154" s="10" t="s">
        <v>62</v>
      </c>
      <c r="Y154" s="10" t="s">
        <v>63</v>
      </c>
    </row>
    <row r="155" spans="20:69">
      <c r="V155" s="6" t="s">
        <v>65</v>
      </c>
      <c r="W155" s="6" t="s">
        <v>66</v>
      </c>
      <c r="X155" s="6" t="s">
        <v>67</v>
      </c>
      <c r="Y155" s="6" t="s">
        <v>68</v>
      </c>
    </row>
    <row r="156" spans="20:69">
      <c r="T156" s="10"/>
      <c r="V156" s="6" t="s">
        <v>69</v>
      </c>
      <c r="W156" s="6" t="s">
        <v>70</v>
      </c>
      <c r="X156" s="6" t="s">
        <v>71</v>
      </c>
      <c r="Y156" s="6" t="s">
        <v>72</v>
      </c>
      <c r="AP156" s="10"/>
      <c r="AQ156" s="10"/>
    </row>
    <row r="157" spans="20:69">
      <c r="V157" s="6" t="s">
        <v>74</v>
      </c>
      <c r="W157" s="6" t="s">
        <v>75</v>
      </c>
      <c r="X157" s="6" t="s">
        <v>76</v>
      </c>
      <c r="Y157" s="6" t="s">
        <v>77</v>
      </c>
    </row>
    <row r="159" spans="20:69">
      <c r="T159" s="10" t="s">
        <v>79</v>
      </c>
      <c r="U159" s="61" t="s">
        <v>80</v>
      </c>
      <c r="V159" s="61"/>
      <c r="W159" s="10" t="s">
        <v>81</v>
      </c>
      <c r="X159" s="10" t="str">
        <f>X216</f>
        <v>5MA</v>
      </c>
      <c r="Y159" s="10"/>
      <c r="Z159" s="10"/>
      <c r="AA159" s="10"/>
      <c r="AB159" s="10"/>
      <c r="AC159" s="10"/>
      <c r="AD159" s="10"/>
      <c r="AE159" s="10"/>
      <c r="AO159" s="10"/>
    </row>
    <row r="160" spans="20:69">
      <c r="U160" s="6" t="s">
        <v>83</v>
      </c>
      <c r="W160" s="62" t="s">
        <v>84</v>
      </c>
      <c r="X160" s="62"/>
      <c r="Y160" s="62"/>
      <c r="Z160" s="62"/>
      <c r="AA160" s="62"/>
      <c r="AB160" s="62"/>
      <c r="AC160" s="62"/>
      <c r="AD160" s="62"/>
      <c r="AE160" s="62"/>
    </row>
    <row r="161" spans="21:39">
      <c r="W161" s="64" t="s">
        <v>86</v>
      </c>
      <c r="X161" s="64" t="s">
        <v>87</v>
      </c>
      <c r="Y161" s="64" t="s">
        <v>88</v>
      </c>
      <c r="Z161" s="65" t="s">
        <v>89</v>
      </c>
      <c r="AA161" s="65" t="s">
        <v>87</v>
      </c>
      <c r="AB161" s="65" t="s">
        <v>88</v>
      </c>
      <c r="AC161" s="66" t="s">
        <v>90</v>
      </c>
      <c r="AD161" s="66" t="s">
        <v>87</v>
      </c>
      <c r="AE161" s="66" t="s">
        <v>88</v>
      </c>
    </row>
    <row r="162" spans="21:39">
      <c r="W162" s="7" t="s">
        <v>91</v>
      </c>
      <c r="Z162" s="7" t="s">
        <v>91</v>
      </c>
      <c r="AC162" s="7" t="s">
        <v>91</v>
      </c>
    </row>
    <row r="164" spans="21:39">
      <c r="U164" s="7" t="s">
        <v>92</v>
      </c>
      <c r="V164" s="60" t="s">
        <v>93</v>
      </c>
      <c r="W164" s="67" t="str">
        <f>W195</f>
        <v>EXP</v>
      </c>
      <c r="X164" s="68">
        <f>IF(W$66="EXP",$AC218,IF(W164="LB",$AC219,$AC220))</f>
        <v>23527.6791969324</v>
      </c>
      <c r="Y164" s="69">
        <f t="shared" ref="Y164:Z166" si="61">AD195</f>
        <v>23527.6791969324</v>
      </c>
      <c r="Z164" s="70" t="str">
        <f t="shared" si="61"/>
        <v>UB</v>
      </c>
      <c r="AA164" s="68">
        <f>IF(Z$66="EXP",$AC218,IF(Z164="LB",$AC219,$AC220))</f>
        <v>24527.744094350783</v>
      </c>
      <c r="AB164" s="71">
        <f t="shared" ref="AB164:AC166" si="62">AL195</f>
        <v>24527.744094350783</v>
      </c>
      <c r="AC164" s="67" t="str">
        <f t="shared" si="62"/>
        <v>LB</v>
      </c>
      <c r="AD164" s="68">
        <f>IF(AC$66="EXP",$AC218,IF(AC164="LB",$AC219,$AC220))</f>
        <v>22527.614299514014</v>
      </c>
      <c r="AE164" s="71">
        <f>AT195</f>
        <v>22527.614299514014</v>
      </c>
    </row>
    <row r="165" spans="21:39">
      <c r="U165" s="7" t="s">
        <v>92</v>
      </c>
      <c r="V165" s="60" t="s">
        <v>94</v>
      </c>
      <c r="W165" s="67" t="str">
        <f>W196</f>
        <v>EXP</v>
      </c>
      <c r="X165" s="68">
        <f>IF(W$67="EXP",$AC221,IF(W165="LB",$AC222,$AC223))</f>
        <v>7822.6282946204465</v>
      </c>
      <c r="Y165" s="69">
        <f t="shared" si="61"/>
        <v>7822.6282946204465</v>
      </c>
      <c r="Z165" s="70" t="str">
        <f t="shared" si="61"/>
        <v>UB</v>
      </c>
      <c r="AA165" s="68">
        <f>IF(Z$67="EXP",$AC221,IF(Z165="LB",$AC222,$AC223))</f>
        <v>8596.2347432436854</v>
      </c>
      <c r="AB165" s="71">
        <f t="shared" si="62"/>
        <v>8596.2347432436854</v>
      </c>
      <c r="AC165" s="67" t="str">
        <f t="shared" si="62"/>
        <v>LB</v>
      </c>
      <c r="AD165" s="68">
        <f>IF(AC$67="EXP",$AC221,IF(AC165="LB",$AC222,$AC223))</f>
        <v>7049.0218459972075</v>
      </c>
      <c r="AE165" s="71">
        <f>AT196</f>
        <v>7049.0218459972075</v>
      </c>
    </row>
    <row r="166" spans="21:39">
      <c r="U166" s="7" t="s">
        <v>92</v>
      </c>
      <c r="V166" s="60" t="s">
        <v>95</v>
      </c>
      <c r="W166" s="67" t="str">
        <f>W197</f>
        <v>EXP</v>
      </c>
      <c r="X166" s="68">
        <f>IF(W$68="EXP",$AC224,IF(W166="LB",$AC225,$AC226))</f>
        <v>7597.3853427822796</v>
      </c>
      <c r="Y166" s="69">
        <f t="shared" si="61"/>
        <v>7597.3853427822796</v>
      </c>
      <c r="Z166" s="70" t="str">
        <f t="shared" si="61"/>
        <v>UB</v>
      </c>
      <c r="AA166" s="68">
        <f>IF(Z$68="EXP",$AC224,IF(Z166="LB",$AC225,$AC226))</f>
        <v>8161.2466285142154</v>
      </c>
      <c r="AB166" s="71">
        <f t="shared" si="62"/>
        <v>8161.2466285142154</v>
      </c>
      <c r="AC166" s="67" t="str">
        <f t="shared" si="62"/>
        <v>LB</v>
      </c>
      <c r="AD166" s="68">
        <f>IF(AC$68="EXP",$AC224,IF(AC166="LB",$AC225,$AC226))</f>
        <v>7033.5240570503456</v>
      </c>
      <c r="AE166" s="71">
        <f>AT197</f>
        <v>7033.5240570503456</v>
      </c>
    </row>
    <row r="167" spans="21:39" ht="16.2" thickBot="1">
      <c r="U167" s="7"/>
      <c r="V167" s="60" t="s">
        <v>96</v>
      </c>
      <c r="W167" s="67"/>
      <c r="X167" s="72">
        <f>SUM(X164:X166)</f>
        <v>38947.692834335132</v>
      </c>
      <c r="Y167" s="72">
        <f>SUM(Y164:Y166)</f>
        <v>38947.692834335132</v>
      </c>
      <c r="Z167" s="7"/>
      <c r="AA167" s="72">
        <f>SUM(AA164:AA166)</f>
        <v>41285.225466108684</v>
      </c>
      <c r="AB167" s="72">
        <f>SUM(AB164:AB166)</f>
        <v>41285.225466108684</v>
      </c>
      <c r="AC167" s="67"/>
      <c r="AD167" s="72">
        <f>SUM(AD164:AD166)</f>
        <v>36610.160202561565</v>
      </c>
      <c r="AE167" s="72">
        <f>SUM(AE164:AE166)</f>
        <v>36610.160202561565</v>
      </c>
      <c r="AK167" s="24"/>
      <c r="AL167" s="24"/>
      <c r="AM167" s="24"/>
    </row>
    <row r="168" spans="21:39">
      <c r="U168" s="7"/>
      <c r="V168" s="60"/>
      <c r="W168" s="67"/>
      <c r="X168" s="68"/>
      <c r="Y168" s="69"/>
      <c r="Z168" s="70"/>
      <c r="AA168" s="68"/>
      <c r="AB168" s="71"/>
      <c r="AC168" s="67"/>
      <c r="AD168" s="68"/>
      <c r="AE168" s="71"/>
      <c r="AK168" s="24"/>
      <c r="AL168" s="24"/>
      <c r="AM168" s="24"/>
    </row>
    <row r="169" spans="21:39">
      <c r="U169" s="7" t="s">
        <v>97</v>
      </c>
      <c r="V169" s="60" t="s">
        <v>98</v>
      </c>
      <c r="W169" s="67" t="str">
        <f t="shared" ref="W169:W170" si="63">W200</f>
        <v>EXP</v>
      </c>
      <c r="X169" s="68">
        <f>IF(W$71="EXP",$AC227,IF(W169="LB",$AC228,$AC229))</f>
        <v>28218.049226383711</v>
      </c>
      <c r="Y169" s="69">
        <f t="shared" ref="Y169:Z171" si="64">AD200</f>
        <v>28218.049226383711</v>
      </c>
      <c r="Z169" s="70" t="str">
        <f t="shared" si="64"/>
        <v>UB</v>
      </c>
      <c r="AA169" s="68">
        <f>IF(Z$71="EXP",$AC227,IF(Z169="LB",$AC228,$AC229))</f>
        <v>29153.72653850542</v>
      </c>
      <c r="AB169" s="71">
        <f t="shared" ref="AB169:AC171" si="65">AL200</f>
        <v>29153.72653850542</v>
      </c>
      <c r="AC169" s="67" t="str">
        <f t="shared" si="65"/>
        <v>LB</v>
      </c>
      <c r="AD169" s="68">
        <f>IF(AC$71="EXP",$AC227,IF(AC169="LB",$AC228,$AC229))</f>
        <v>27282.371914261999</v>
      </c>
      <c r="AE169" s="71">
        <f t="shared" ref="AE169:AE170" si="66">AT200</f>
        <v>27282.371914261999</v>
      </c>
      <c r="AK169" s="24"/>
      <c r="AL169" s="24"/>
      <c r="AM169" s="24"/>
    </row>
    <row r="170" spans="21:39">
      <c r="U170" s="7" t="s">
        <v>97</v>
      </c>
      <c r="V170" s="60" t="s">
        <v>99</v>
      </c>
      <c r="W170" s="67" t="str">
        <f t="shared" si="63"/>
        <v>EXP</v>
      </c>
      <c r="X170" s="68">
        <f>IF(W$72="EXP",$AC230,IF(W170="LB",$AC231,$AC232))</f>
        <v>8198.5636363636386</v>
      </c>
      <c r="Y170" s="69">
        <f t="shared" si="64"/>
        <v>8198.5636363636386</v>
      </c>
      <c r="Z170" s="70" t="str">
        <f t="shared" si="64"/>
        <v>UB</v>
      </c>
      <c r="AA170" s="68">
        <f>IF(Z$72="EXP",$AC230,IF(Z170="LB",$AC231,$AC232))</f>
        <v>8616.722424658612</v>
      </c>
      <c r="AB170" s="71">
        <f t="shared" si="65"/>
        <v>8616.722424658612</v>
      </c>
      <c r="AC170" s="67" t="str">
        <f>AM201</f>
        <v>LB</v>
      </c>
      <c r="AD170" s="68">
        <f>IF(AC$72="EXP",$AC230,IF(AC170="LB",$AC231,$AC232))</f>
        <v>7780.4048480686652</v>
      </c>
      <c r="AE170" s="71">
        <f t="shared" si="66"/>
        <v>7780.4048480686652</v>
      </c>
    </row>
    <row r="171" spans="21:39">
      <c r="U171" s="7" t="s">
        <v>97</v>
      </c>
      <c r="V171" s="60" t="s">
        <v>100</v>
      </c>
      <c r="W171" s="67" t="str">
        <f>W202</f>
        <v>EXP</v>
      </c>
      <c r="X171" s="68">
        <f>IF(W$73="EXP",$AC233,IF(W171="LB",$AC234,$AC235))</f>
        <v>2118.9563636363619</v>
      </c>
      <c r="Y171" s="69">
        <f t="shared" si="64"/>
        <v>2118.9563636363619</v>
      </c>
      <c r="Z171" s="70" t="str">
        <f t="shared" si="64"/>
        <v>UB</v>
      </c>
      <c r="AA171" s="68">
        <f>IF(Z$73="EXP",$AC233,IF(Z171="LB",$AC234,$AC235))</f>
        <v>2376.0139611141258</v>
      </c>
      <c r="AB171" s="71">
        <f t="shared" si="65"/>
        <v>2376.0139611141258</v>
      </c>
      <c r="AC171" s="67" t="str">
        <f>AM202</f>
        <v>LB</v>
      </c>
      <c r="AD171" s="68">
        <f>IF(AC$73="EXP",$AC233,IF(AC171="LB",$AC234,$AC235))</f>
        <v>1861.8987661585982</v>
      </c>
      <c r="AE171" s="71">
        <f>AT202</f>
        <v>1861.8987661585982</v>
      </c>
      <c r="AH171" s="7"/>
      <c r="AI171" s="60"/>
      <c r="AK171" s="24"/>
      <c r="AL171" s="24"/>
      <c r="AM171" s="24"/>
    </row>
    <row r="172" spans="21:39" ht="16.2" thickBot="1">
      <c r="U172" s="7"/>
      <c r="V172" s="60" t="s">
        <v>96</v>
      </c>
      <c r="W172" s="67"/>
      <c r="X172" s="72">
        <f>SUM(X169:X171)</f>
        <v>38535.569226383712</v>
      </c>
      <c r="Y172" s="72">
        <f>SUM(Y169:Y171)</f>
        <v>38535.569226383712</v>
      </c>
      <c r="Z172" s="7"/>
      <c r="AA172" s="72">
        <f>SUM(AA169:AA171)</f>
        <v>40146.462924278159</v>
      </c>
      <c r="AB172" s="72">
        <f>SUM(AB169:AB171)</f>
        <v>40146.462924278159</v>
      </c>
      <c r="AC172" s="67"/>
      <c r="AD172" s="72">
        <f>SUM(AD169:AD171)</f>
        <v>36924.675528489264</v>
      </c>
      <c r="AE172" s="72">
        <f>SUM(AE169:AE171)</f>
        <v>36924.675528489264</v>
      </c>
      <c r="AH172" s="7"/>
      <c r="AI172" s="60"/>
      <c r="AK172" s="24"/>
      <c r="AL172" s="24"/>
      <c r="AM172" s="24"/>
    </row>
    <row r="173" spans="21:39">
      <c r="U173" s="7"/>
      <c r="V173" s="60"/>
      <c r="W173" s="67"/>
      <c r="X173" s="68"/>
      <c r="Y173" s="69"/>
      <c r="Z173" s="70"/>
      <c r="AA173" s="68"/>
      <c r="AB173" s="71"/>
      <c r="AC173" s="67"/>
      <c r="AD173" s="68"/>
      <c r="AE173" s="71"/>
      <c r="AH173" s="7"/>
      <c r="AI173" s="60"/>
      <c r="AK173" s="24"/>
      <c r="AL173" s="24"/>
      <c r="AM173" s="24"/>
    </row>
    <row r="174" spans="21:39">
      <c r="U174" s="7" t="s">
        <v>101</v>
      </c>
      <c r="V174" s="60" t="s">
        <v>102</v>
      </c>
      <c r="W174" s="67" t="str">
        <f>W205</f>
        <v>EXP</v>
      </c>
      <c r="X174" s="68">
        <f>IF(W174="EXP",$AC236,IF(W174="LB",$AC237,$AC238))</f>
        <v>32186.167905758404</v>
      </c>
      <c r="Y174" s="69">
        <f t="shared" ref="Y174:Z176" si="67">AD205</f>
        <v>32186.167905758404</v>
      </c>
      <c r="Z174" s="70" t="str">
        <f t="shared" si="67"/>
        <v>UB</v>
      </c>
      <c r="AA174" s="68">
        <f>IF(Z174="EXP",$AC236,IF(Z174="LB",$AC237,$AC238))</f>
        <v>33563.36822904471</v>
      </c>
      <c r="AB174" s="71">
        <f t="shared" ref="AB174:AC176" si="68">AL205</f>
        <v>33563.36822904471</v>
      </c>
      <c r="AC174" s="67" t="str">
        <f t="shared" si="68"/>
        <v>LB</v>
      </c>
      <c r="AD174" s="68">
        <f>IF(AC174="EXP",$AC236,IF(AC174="LB",$AC237,$AC238))</f>
        <v>30808.967582472098</v>
      </c>
      <c r="AE174" s="71">
        <f>AT205</f>
        <v>30808.967582472098</v>
      </c>
      <c r="AK174" s="24"/>
      <c r="AL174" s="24"/>
      <c r="AM174" s="24"/>
    </row>
    <row r="175" spans="21:39">
      <c r="U175" s="7" t="s">
        <v>101</v>
      </c>
      <c r="V175" s="60" t="s">
        <v>103</v>
      </c>
      <c r="W175" s="67" t="str">
        <f>W206</f>
        <v>EXP</v>
      </c>
      <c r="X175" s="68">
        <f>IF(W175="EXP",$AC239,IF(W175="LB",$AC240,$AC241))</f>
        <v>4264.5299687993611</v>
      </c>
      <c r="Y175" s="69">
        <f t="shared" si="67"/>
        <v>4264.5299687993611</v>
      </c>
      <c r="Z175" s="70" t="str">
        <f t="shared" si="67"/>
        <v>UB</v>
      </c>
      <c r="AA175" s="68">
        <f>IF(Z175="EXP",$AC239,IF(Z175="LB",$AC240,$AC241))</f>
        <v>4570.5896340137206</v>
      </c>
      <c r="AB175" s="71">
        <f t="shared" si="68"/>
        <v>4570.5896340137206</v>
      </c>
      <c r="AC175" s="67" t="str">
        <f t="shared" si="68"/>
        <v>LB</v>
      </c>
      <c r="AD175" s="68">
        <f>IF(AC175="EXP",$AC239,IF(AC175="LB",$AC240,$AC241))</f>
        <v>3958.4703035850002</v>
      </c>
      <c r="AE175" s="71">
        <f>AT206</f>
        <v>3958.4703035850002</v>
      </c>
      <c r="AK175" s="24"/>
      <c r="AL175" s="24"/>
      <c r="AM175" s="24"/>
    </row>
    <row r="176" spans="21:39">
      <c r="U176" s="7" t="s">
        <v>101</v>
      </c>
      <c r="V176" s="60" t="s">
        <v>104</v>
      </c>
      <c r="W176" s="67" t="str">
        <f>W207</f>
        <v>EXP</v>
      </c>
      <c r="X176" s="68">
        <f>IF(W176="EXP",$AC242,IF(W176="LB",$AC243,$AC244))</f>
        <v>2234.5236363636377</v>
      </c>
      <c r="Y176" s="69">
        <f t="shared" si="67"/>
        <v>2234.5236363636377</v>
      </c>
      <c r="Z176" s="70" t="str">
        <f t="shared" si="67"/>
        <v>UB</v>
      </c>
      <c r="AA176" s="68">
        <f>IF(Z176="EXP",$AC242,IF(Z176="LB",$AC243,$AC244))</f>
        <v>2460.2352045334478</v>
      </c>
      <c r="AB176" s="71">
        <f t="shared" si="68"/>
        <v>2460.2352045334478</v>
      </c>
      <c r="AC176" s="67" t="str">
        <f t="shared" si="68"/>
        <v>LB</v>
      </c>
      <c r="AD176" s="68">
        <f>IF(AC176="EXP",$AC242,IF(AC176="LB",$AC243,$AC244))</f>
        <v>2008.8120681938271</v>
      </c>
      <c r="AE176" s="71">
        <f>AT207</f>
        <v>2008.8120681938271</v>
      </c>
    </row>
    <row r="177" spans="20:46" ht="16.2" thickBot="1">
      <c r="U177" s="7"/>
      <c r="V177" s="60" t="s">
        <v>96</v>
      </c>
      <c r="W177" s="67"/>
      <c r="X177" s="72">
        <f>SUM(X174:X176)</f>
        <v>38685.221510921401</v>
      </c>
      <c r="Y177" s="72">
        <f>SUM(Y174:Y176)</f>
        <v>38685.221510921401</v>
      </c>
      <c r="Z177" s="7"/>
      <c r="AA177" s="72">
        <f>SUM(AA174:AA176)</f>
        <v>40594.193067591877</v>
      </c>
      <c r="AB177" s="72">
        <f>SUM(AB174:AB176)</f>
        <v>40594.193067591877</v>
      </c>
      <c r="AC177" s="67"/>
      <c r="AD177" s="72">
        <f>SUM(AD174:AD176)</f>
        <v>36776.249954250932</v>
      </c>
      <c r="AE177" s="72">
        <f>SUM(AE174:AE176)</f>
        <v>36776.249954250932</v>
      </c>
    </row>
    <row r="180" spans="20:46">
      <c r="U180" s="6" t="s">
        <v>87</v>
      </c>
      <c r="V180" s="6" t="s">
        <v>161</v>
      </c>
      <c r="W180" s="24">
        <f>SUM(N212:N215)</f>
        <v>0</v>
      </c>
    </row>
    <row r="181" spans="20:46">
      <c r="U181" s="6" t="s">
        <v>108</v>
      </c>
      <c r="V181" s="6" t="s">
        <v>162</v>
      </c>
      <c r="Y181" s="24">
        <f>MAX(X167,X172,X177)</f>
        <v>38947.692834335132</v>
      </c>
      <c r="AB181" s="24">
        <f>MAX(AA167,AA172,AA177)</f>
        <v>41285.225466108684</v>
      </c>
      <c r="AE181" s="24">
        <f>MIN(AD167,AD172,AD177)</f>
        <v>36610.160202561565</v>
      </c>
    </row>
    <row r="182" spans="20:46">
      <c r="U182" s="6" t="s">
        <v>109</v>
      </c>
      <c r="V182" s="6" t="s">
        <v>162</v>
      </c>
      <c r="Y182" s="74">
        <f>MAX(Y167,Y172,Y177)</f>
        <v>38947.692834335132</v>
      </c>
      <c r="AB182" s="74">
        <f>MAX(AB167,AB172,AB177)</f>
        <v>41285.225466108684</v>
      </c>
      <c r="AE182" s="74">
        <f>MIN(AE167,AE172,AE177)</f>
        <v>36610.160202561565</v>
      </c>
    </row>
    <row r="184" spans="20:46">
      <c r="V184" s="10" t="s">
        <v>163</v>
      </c>
      <c r="W184" s="10"/>
      <c r="Y184" s="75" t="e">
        <f>(Y182-W180)/ABS(W180)</f>
        <v>#DIV/0!</v>
      </c>
      <c r="Z184" s="10"/>
      <c r="AB184" s="75" t="e">
        <f>(AB182-W180)/ABS(W180)</f>
        <v>#DIV/0!</v>
      </c>
      <c r="AC184" s="10"/>
      <c r="AE184" s="75" t="e">
        <f>(AE182-W180)/ABS(W180)</f>
        <v>#DIV/0!</v>
      </c>
    </row>
    <row r="187" spans="20:46">
      <c r="Y187" s="76" t="s">
        <v>112</v>
      </c>
      <c r="AB187" s="77" t="s">
        <v>112</v>
      </c>
      <c r="AE187" s="21" t="s">
        <v>112</v>
      </c>
    </row>
    <row r="188" spans="20:46">
      <c r="Y188" s="76" t="s">
        <v>115</v>
      </c>
      <c r="AB188" s="77" t="s">
        <v>115</v>
      </c>
      <c r="AE188" s="21" t="s">
        <v>115</v>
      </c>
    </row>
    <row r="190" spans="20:46">
      <c r="T190" s="10" t="s">
        <v>116</v>
      </c>
      <c r="U190" s="78" t="s">
        <v>117</v>
      </c>
    </row>
    <row r="191" spans="20:46">
      <c r="U191" s="6" t="s">
        <v>83</v>
      </c>
      <c r="W191" s="79" t="s">
        <v>84</v>
      </c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</row>
    <row r="192" spans="20:46">
      <c r="W192" s="64" t="s">
        <v>86</v>
      </c>
      <c r="X192" s="64" t="s">
        <v>118</v>
      </c>
      <c r="Y192" s="64" t="s">
        <v>119</v>
      </c>
      <c r="Z192" s="64" t="s">
        <v>120</v>
      </c>
      <c r="AA192" s="64" t="s">
        <v>121</v>
      </c>
      <c r="AB192" s="64" t="s">
        <v>122</v>
      </c>
      <c r="AC192" s="64" t="s">
        <v>123</v>
      </c>
      <c r="AD192" s="64" t="s">
        <v>124</v>
      </c>
      <c r="AE192" s="65" t="s">
        <v>89</v>
      </c>
      <c r="AF192" s="65" t="s">
        <v>118</v>
      </c>
      <c r="AG192" s="65" t="s">
        <v>119</v>
      </c>
      <c r="AH192" s="65" t="s">
        <v>125</v>
      </c>
      <c r="AI192" s="65" t="s">
        <v>121</v>
      </c>
      <c r="AJ192" s="65" t="s">
        <v>122</v>
      </c>
      <c r="AK192" s="65" t="s">
        <v>123</v>
      </c>
      <c r="AL192" s="65" t="s">
        <v>124</v>
      </c>
      <c r="AM192" s="66" t="s">
        <v>90</v>
      </c>
      <c r="AN192" s="66" t="s">
        <v>118</v>
      </c>
      <c r="AO192" s="66" t="s">
        <v>119</v>
      </c>
      <c r="AP192" s="66" t="s">
        <v>125</v>
      </c>
      <c r="AQ192" s="66" t="s">
        <v>121</v>
      </c>
      <c r="AR192" s="66" t="s">
        <v>122</v>
      </c>
      <c r="AS192" s="66" t="s">
        <v>123</v>
      </c>
      <c r="AT192" s="66" t="s">
        <v>88</v>
      </c>
    </row>
    <row r="193" spans="21:46">
      <c r="W193" s="7" t="s">
        <v>126</v>
      </c>
      <c r="X193" s="7"/>
      <c r="Y193" s="7"/>
      <c r="Z193" s="82"/>
      <c r="AE193" s="7" t="s">
        <v>126</v>
      </c>
      <c r="AF193" s="7"/>
      <c r="AG193" s="7"/>
      <c r="AH193" s="82"/>
      <c r="AM193" s="7" t="s">
        <v>126</v>
      </c>
      <c r="AN193" s="7"/>
      <c r="AO193" s="7"/>
      <c r="AP193" s="82"/>
      <c r="AT193" s="6"/>
    </row>
    <row r="194" spans="21:46">
      <c r="W194" s="83" t="s">
        <v>127</v>
      </c>
      <c r="Z194" s="84" t="s">
        <v>127</v>
      </c>
      <c r="AE194" s="83" t="s">
        <v>127</v>
      </c>
      <c r="AH194" s="84" t="s">
        <v>127</v>
      </c>
      <c r="AM194" s="83" t="s">
        <v>127</v>
      </c>
      <c r="AP194" s="84" t="s">
        <v>127</v>
      </c>
    </row>
    <row r="195" spans="21:46">
      <c r="U195" s="7" t="s">
        <v>92</v>
      </c>
      <c r="V195" s="60" t="s">
        <v>93</v>
      </c>
      <c r="W195" s="85" t="s">
        <v>50</v>
      </c>
      <c r="X195" s="86">
        <f>$AA218</f>
        <v>0</v>
      </c>
      <c r="Y195" s="86">
        <f>AB218</f>
        <v>23527.6791969324</v>
      </c>
      <c r="Z195" s="67">
        <v>0</v>
      </c>
      <c r="AA195" s="68">
        <f>IF(W195="EXP",$AB218,IF(W195="LB",$AB219,$AB220))</f>
        <v>23527.6791969324</v>
      </c>
      <c r="AB195" s="86">
        <f>AA195*(1+Z195)</f>
        <v>23527.6791969324</v>
      </c>
      <c r="AC195" s="87">
        <f>(AB195-Y195)/ABS(Y195)</f>
        <v>0</v>
      </c>
      <c r="AD195" s="69">
        <f>AB195+X195</f>
        <v>23527.6791969324</v>
      </c>
      <c r="AE195" s="67" t="s">
        <v>34</v>
      </c>
      <c r="AF195" s="86">
        <f>$AA218</f>
        <v>0</v>
      </c>
      <c r="AG195" s="86">
        <f>AB220</f>
        <v>24527.744094350783</v>
      </c>
      <c r="AH195" s="67">
        <v>0</v>
      </c>
      <c r="AI195" s="68">
        <f>IF(AE195="EXP",$AB218,IF(AE195="LB",$AB219,$AB220))</f>
        <v>24527.744094350783</v>
      </c>
      <c r="AJ195" s="86">
        <f>AI195*(1+AH195)</f>
        <v>24527.744094350783</v>
      </c>
      <c r="AK195" s="87">
        <f>(AJ195-AG195)/ABS(AG195)</f>
        <v>0</v>
      </c>
      <c r="AL195" s="69">
        <f>AJ195+AF195</f>
        <v>24527.744094350783</v>
      </c>
      <c r="AM195" s="67" t="s">
        <v>33</v>
      </c>
      <c r="AN195" s="86">
        <f>$AA218</f>
        <v>0</v>
      </c>
      <c r="AO195" s="86">
        <f>AB219</f>
        <v>22527.614299514014</v>
      </c>
      <c r="AP195" s="67">
        <v>0</v>
      </c>
      <c r="AQ195" s="68">
        <f>IF(AM195="EXP",$AB218,IF(AM195="LB",$AB219,$AB220))</f>
        <v>22527.614299514014</v>
      </c>
      <c r="AR195" s="86">
        <f>AQ195*(1+AP195)</f>
        <v>22527.614299514014</v>
      </c>
      <c r="AS195" s="87">
        <f>(AR195-AO195)/ABS(AO195)</f>
        <v>0</v>
      </c>
      <c r="AT195" s="69">
        <f>AR195+AN195</f>
        <v>22527.614299514014</v>
      </c>
    </row>
    <row r="196" spans="21:46">
      <c r="U196" s="7" t="s">
        <v>92</v>
      </c>
      <c r="V196" s="60" t="s">
        <v>94</v>
      </c>
      <c r="W196" s="85" t="s">
        <v>50</v>
      </c>
      <c r="X196" s="86">
        <f>$AA221</f>
        <v>0</v>
      </c>
      <c r="Y196" s="86">
        <f>AB221</f>
        <v>7822.6282946204465</v>
      </c>
      <c r="Z196" s="67">
        <v>0</v>
      </c>
      <c r="AA196" s="68">
        <f>IF(W196="EXP",$AB221,IF(W196="LB",$AB222,$AB223))</f>
        <v>7822.6282946204465</v>
      </c>
      <c r="AB196" s="86">
        <f t="shared" ref="AB196:AB197" si="69">AA196*(1+Z196)</f>
        <v>7822.6282946204465</v>
      </c>
      <c r="AC196" s="87">
        <f t="shared" ref="AC196:AC198" si="70">(AB196-Y196)/ABS(Y196)</f>
        <v>0</v>
      </c>
      <c r="AD196" s="69">
        <f t="shared" ref="AD196:AD197" si="71">AB196+X196</f>
        <v>7822.6282946204465</v>
      </c>
      <c r="AE196" s="67" t="s">
        <v>34</v>
      </c>
      <c r="AF196" s="86">
        <f>$AA221</f>
        <v>0</v>
      </c>
      <c r="AG196" s="86">
        <f>AB223</f>
        <v>8596.2347432436854</v>
      </c>
      <c r="AH196" s="67">
        <v>0</v>
      </c>
      <c r="AI196" s="68">
        <f>IF(AE196="EXP",$AB221,IF(AE196="LB",$AB222,$AB223))</f>
        <v>8596.2347432436854</v>
      </c>
      <c r="AJ196" s="86">
        <f t="shared" ref="AJ196:AJ197" si="72">AI196*(1+AH196)</f>
        <v>8596.2347432436854</v>
      </c>
      <c r="AK196" s="87">
        <f t="shared" ref="AK196:AK198" si="73">(AJ196-AG196)/ABS(AG196)</f>
        <v>0</v>
      </c>
      <c r="AL196" s="69">
        <f t="shared" ref="AL196:AL197" si="74">AJ196+AF196</f>
        <v>8596.2347432436854</v>
      </c>
      <c r="AM196" s="67" t="s">
        <v>33</v>
      </c>
      <c r="AN196" s="86">
        <f>$AA221</f>
        <v>0</v>
      </c>
      <c r="AO196" s="86">
        <f>AB222</f>
        <v>7049.0218459972075</v>
      </c>
      <c r="AP196" s="67">
        <v>0</v>
      </c>
      <c r="AQ196" s="68">
        <f>IF(AM196="EXP",$AB221,IF(AM196="LB",$AB222,$AB223))</f>
        <v>7049.0218459972075</v>
      </c>
      <c r="AR196" s="86">
        <f t="shared" ref="AR196:AR197" si="75">AQ196*(1+AP196)</f>
        <v>7049.0218459972075</v>
      </c>
      <c r="AS196" s="87">
        <f t="shared" ref="AS196:AS198" si="76">(AR196-AO196)/ABS(AO196)</f>
        <v>0</v>
      </c>
      <c r="AT196" s="69">
        <f t="shared" ref="AT196:AT197" si="77">AR196+AN196</f>
        <v>7049.0218459972075</v>
      </c>
    </row>
    <row r="197" spans="21:46">
      <c r="U197" s="7" t="s">
        <v>92</v>
      </c>
      <c r="V197" s="60" t="s">
        <v>95</v>
      </c>
      <c r="W197" s="85" t="s">
        <v>50</v>
      </c>
      <c r="X197" s="86">
        <f>$AA224</f>
        <v>0</v>
      </c>
      <c r="Y197" s="86">
        <f>AB224</f>
        <v>7597.3853427822796</v>
      </c>
      <c r="Z197" s="67">
        <v>0</v>
      </c>
      <c r="AA197" s="68">
        <f>IF(W197="EXP",$AB224,IF(W197="LB",$AB225,$AB226))</f>
        <v>7597.3853427822796</v>
      </c>
      <c r="AB197" s="86">
        <f t="shared" si="69"/>
        <v>7597.3853427822796</v>
      </c>
      <c r="AC197" s="87">
        <f t="shared" si="70"/>
        <v>0</v>
      </c>
      <c r="AD197" s="69">
        <f t="shared" si="71"/>
        <v>7597.3853427822796</v>
      </c>
      <c r="AE197" s="67" t="s">
        <v>34</v>
      </c>
      <c r="AF197" s="86">
        <f>$AA224</f>
        <v>0</v>
      </c>
      <c r="AG197" s="86">
        <f>AB226</f>
        <v>8161.2466285142154</v>
      </c>
      <c r="AH197" s="67">
        <v>0</v>
      </c>
      <c r="AI197" s="68">
        <f>IF(AE197="EXP",$AB224,IF(AE197="LB",$AB225,$AB226))</f>
        <v>8161.2466285142154</v>
      </c>
      <c r="AJ197" s="86">
        <f t="shared" si="72"/>
        <v>8161.2466285142154</v>
      </c>
      <c r="AK197" s="87">
        <f t="shared" si="73"/>
        <v>0</v>
      </c>
      <c r="AL197" s="69">
        <f t="shared" si="74"/>
        <v>8161.2466285142154</v>
      </c>
      <c r="AM197" s="67" t="s">
        <v>33</v>
      </c>
      <c r="AN197" s="86">
        <f>$AA224</f>
        <v>0</v>
      </c>
      <c r="AO197" s="86">
        <f>AB225</f>
        <v>7033.5240570503456</v>
      </c>
      <c r="AP197" s="67">
        <v>0</v>
      </c>
      <c r="AQ197" s="68">
        <f>IF(AM197="EXP",$AB224,IF(AM197="LB",$AB225,$AB226))</f>
        <v>7033.5240570503456</v>
      </c>
      <c r="AR197" s="86">
        <f t="shared" si="75"/>
        <v>7033.5240570503456</v>
      </c>
      <c r="AS197" s="87">
        <f t="shared" si="76"/>
        <v>0</v>
      </c>
      <c r="AT197" s="69">
        <f t="shared" si="77"/>
        <v>7033.5240570503456</v>
      </c>
    </row>
    <row r="198" spans="21:46" ht="16.2" thickBot="1">
      <c r="U198" s="7"/>
      <c r="V198" s="60" t="s">
        <v>96</v>
      </c>
      <c r="W198" s="85"/>
      <c r="X198" s="72">
        <f>SUM(X195:X197)</f>
        <v>0</v>
      </c>
      <c r="Y198" s="72">
        <f>SUM(Y195:Y197)</f>
        <v>38947.692834335132</v>
      </c>
      <c r="Z198" s="88"/>
      <c r="AA198" s="72">
        <f>SUM(AA195:AA197)</f>
        <v>38947.692834335132</v>
      </c>
      <c r="AB198" s="72">
        <f>SUM(AB195:AB197)</f>
        <v>38947.692834335132</v>
      </c>
      <c r="AC198" s="87">
        <f t="shared" si="70"/>
        <v>0</v>
      </c>
      <c r="AD198" s="72">
        <f>SUM(AD195:AD197)</f>
        <v>38947.692834335132</v>
      </c>
      <c r="AE198" s="67"/>
      <c r="AF198" s="72">
        <f>SUM(AF195:AF197)</f>
        <v>0</v>
      </c>
      <c r="AG198" s="72">
        <f>SUM(AG195:AG197)</f>
        <v>41285.225466108684</v>
      </c>
      <c r="AH198" s="88"/>
      <c r="AI198" s="72">
        <f>SUM(AI195:AI197)</f>
        <v>41285.225466108684</v>
      </c>
      <c r="AJ198" s="72">
        <f>SUM(AJ195:AJ197)</f>
        <v>41285.225466108684</v>
      </c>
      <c r="AK198" s="87">
        <f t="shared" si="73"/>
        <v>0</v>
      </c>
      <c r="AL198" s="72">
        <f>SUM(AL195:AL197)</f>
        <v>41285.225466108684</v>
      </c>
      <c r="AM198" s="71"/>
      <c r="AN198" s="72">
        <f>SUM(AN195:AN197)</f>
        <v>0</v>
      </c>
      <c r="AO198" s="72">
        <f>SUM(AO195:AO197)</f>
        <v>36610.160202561565</v>
      </c>
      <c r="AP198" s="88"/>
      <c r="AQ198" s="72">
        <f>SUM(AQ195:AQ197)</f>
        <v>36610.160202561565</v>
      </c>
      <c r="AR198" s="72">
        <f>SUM(AR195:AR197)</f>
        <v>36610.160202561565</v>
      </c>
      <c r="AS198" s="87">
        <f t="shared" si="76"/>
        <v>0</v>
      </c>
      <c r="AT198" s="72">
        <f>SUM(AT195:AT197)</f>
        <v>36610.160202561565</v>
      </c>
    </row>
    <row r="199" spans="21:46">
      <c r="U199" s="7"/>
      <c r="V199" s="60"/>
      <c r="W199" s="85"/>
      <c r="X199" s="86"/>
      <c r="Y199" s="86"/>
      <c r="Z199" s="67"/>
      <c r="AA199" s="68"/>
      <c r="AB199" s="68"/>
      <c r="AC199" s="68"/>
      <c r="AD199" s="69"/>
      <c r="AE199" s="67"/>
      <c r="AF199" s="86"/>
      <c r="AG199" s="86"/>
      <c r="AH199" s="67"/>
      <c r="AI199" s="68"/>
      <c r="AJ199" s="68"/>
      <c r="AK199" s="68"/>
      <c r="AL199" s="69"/>
      <c r="AM199" s="67"/>
      <c r="AN199" s="86"/>
      <c r="AO199" s="86"/>
      <c r="AP199" s="67"/>
      <c r="AQ199" s="68"/>
      <c r="AR199" s="68"/>
      <c r="AS199" s="68"/>
      <c r="AT199" s="69"/>
    </row>
    <row r="200" spans="21:46">
      <c r="U200" s="7" t="s">
        <v>97</v>
      </c>
      <c r="V200" s="60" t="s">
        <v>98</v>
      </c>
      <c r="W200" s="85" t="s">
        <v>50</v>
      </c>
      <c r="X200" s="86">
        <f>$AA227</f>
        <v>0</v>
      </c>
      <c r="Y200" s="86">
        <f>AB227</f>
        <v>28218.049226383711</v>
      </c>
      <c r="Z200" s="67">
        <v>0</v>
      </c>
      <c r="AA200" s="68">
        <f>IF(W200="EXP",$AB227,IF(W200="LB",$AB228,$AB229))</f>
        <v>28218.049226383711</v>
      </c>
      <c r="AB200" s="86">
        <f>AA200*(1+Z200)</f>
        <v>28218.049226383711</v>
      </c>
      <c r="AC200" s="87">
        <f>(AB200-Y200)/ABS(Y200)</f>
        <v>0</v>
      </c>
      <c r="AD200" s="69">
        <f>AB200+X200</f>
        <v>28218.049226383711</v>
      </c>
      <c r="AE200" s="67" t="s">
        <v>34</v>
      </c>
      <c r="AF200" s="86">
        <f>$AA227</f>
        <v>0</v>
      </c>
      <c r="AG200" s="86">
        <f>AB229</f>
        <v>29153.72653850542</v>
      </c>
      <c r="AH200" s="67">
        <v>0</v>
      </c>
      <c r="AI200" s="68">
        <f>IF(AE200="EXP",$AB227,IF(AE200="LB",$AB228,$AB229))</f>
        <v>29153.72653850542</v>
      </c>
      <c r="AJ200" s="86">
        <f>AI200*(1+AH200)</f>
        <v>29153.72653850542</v>
      </c>
      <c r="AK200" s="87">
        <f>(AJ200-AG200)/ABS(AG200)</f>
        <v>0</v>
      </c>
      <c r="AL200" s="69">
        <f>AJ200+AF200</f>
        <v>29153.72653850542</v>
      </c>
      <c r="AM200" s="67" t="s">
        <v>33</v>
      </c>
      <c r="AN200" s="86">
        <f>$AA227</f>
        <v>0</v>
      </c>
      <c r="AO200" s="86">
        <f>AB228</f>
        <v>27282.371914261999</v>
      </c>
      <c r="AP200" s="67">
        <v>0</v>
      </c>
      <c r="AQ200" s="68">
        <f>IF(AM200="EXP",$AB227,IF(AM200="LB",$AB228,$AB229))</f>
        <v>27282.371914261999</v>
      </c>
      <c r="AR200" s="86">
        <f>AQ200*(1+AP200)</f>
        <v>27282.371914261999</v>
      </c>
      <c r="AS200" s="87">
        <f>(AR200-AO200)/ABS(AO200)</f>
        <v>0</v>
      </c>
      <c r="AT200" s="69">
        <f>AR200+AN200</f>
        <v>27282.371914261999</v>
      </c>
    </row>
    <row r="201" spans="21:46">
      <c r="U201" s="7" t="s">
        <v>97</v>
      </c>
      <c r="V201" s="60" t="s">
        <v>99</v>
      </c>
      <c r="W201" s="85" t="s">
        <v>50</v>
      </c>
      <c r="X201" s="86">
        <f>$AA230</f>
        <v>0</v>
      </c>
      <c r="Y201" s="86">
        <f>AB230</f>
        <v>8198.5636363636386</v>
      </c>
      <c r="Z201" s="67">
        <v>0</v>
      </c>
      <c r="AA201" s="68">
        <f>IF(W201="EXP",$AB230,IF(W201="LB",$AB231,$AB232))</f>
        <v>8198.5636363636386</v>
      </c>
      <c r="AB201" s="86">
        <f t="shared" ref="AB201:AB202" si="78">AA201*(1+Z201)</f>
        <v>8198.5636363636386</v>
      </c>
      <c r="AC201" s="87">
        <f t="shared" ref="AC201:AC203" si="79">(AB201-Y201)/ABS(Y201)</f>
        <v>0</v>
      </c>
      <c r="AD201" s="69">
        <f t="shared" ref="AD201:AD202" si="80">AB201+X201</f>
        <v>8198.5636363636386</v>
      </c>
      <c r="AE201" s="67" t="s">
        <v>34</v>
      </c>
      <c r="AF201" s="86">
        <f>$AA230</f>
        <v>0</v>
      </c>
      <c r="AG201" s="86">
        <f>AB232</f>
        <v>8616.722424658612</v>
      </c>
      <c r="AH201" s="67">
        <v>0</v>
      </c>
      <c r="AI201" s="68">
        <f>IF(AE201="EXP",$AB230,IF(AE201="LB",$AB231,$AB232))</f>
        <v>8616.722424658612</v>
      </c>
      <c r="AJ201" s="86">
        <f t="shared" ref="AJ201:AJ202" si="81">AI201*(1+AH201)</f>
        <v>8616.722424658612</v>
      </c>
      <c r="AK201" s="87">
        <f t="shared" ref="AK201:AK203" si="82">(AJ201-AG201)/ABS(AG201)</f>
        <v>0</v>
      </c>
      <c r="AL201" s="69">
        <f t="shared" ref="AL201:AL202" si="83">AJ201+AF201</f>
        <v>8616.722424658612</v>
      </c>
      <c r="AM201" s="67" t="s">
        <v>33</v>
      </c>
      <c r="AN201" s="86">
        <f>$AA230</f>
        <v>0</v>
      </c>
      <c r="AO201" s="86">
        <f>AB231</f>
        <v>7780.4048480686652</v>
      </c>
      <c r="AP201" s="67">
        <v>0</v>
      </c>
      <c r="AQ201" s="68">
        <f>IF(AM201="EXP",$AB230,IF(AM201="LB",$AB231,$AB232))</f>
        <v>7780.4048480686652</v>
      </c>
      <c r="AR201" s="86">
        <f t="shared" ref="AR201:AR202" si="84">AQ201*(1+AP201)</f>
        <v>7780.4048480686652</v>
      </c>
      <c r="AS201" s="87">
        <f t="shared" ref="AS201:AS203" si="85">(AR201-AO201)/ABS(AO201)</f>
        <v>0</v>
      </c>
      <c r="AT201" s="69">
        <f t="shared" ref="AT201:AT202" si="86">AR201+AN201</f>
        <v>7780.4048480686652</v>
      </c>
    </row>
    <row r="202" spans="21:46">
      <c r="U202" s="7" t="s">
        <v>97</v>
      </c>
      <c r="V202" s="60" t="s">
        <v>100</v>
      </c>
      <c r="W202" s="85" t="s">
        <v>50</v>
      </c>
      <c r="X202" s="86">
        <f>$AA233</f>
        <v>0</v>
      </c>
      <c r="Y202" s="86">
        <f>AB233</f>
        <v>2118.9563636363619</v>
      </c>
      <c r="Z202" s="88">
        <v>0</v>
      </c>
      <c r="AA202" s="68">
        <f>IF(W202="EXP",$AB233,IF(W202="LB",$AB234,$AB235))</f>
        <v>2118.9563636363619</v>
      </c>
      <c r="AB202" s="86">
        <f t="shared" si="78"/>
        <v>2118.9563636363619</v>
      </c>
      <c r="AC202" s="87">
        <f t="shared" si="79"/>
        <v>0</v>
      </c>
      <c r="AD202" s="69">
        <f t="shared" si="80"/>
        <v>2118.9563636363619</v>
      </c>
      <c r="AE202" s="67" t="s">
        <v>34</v>
      </c>
      <c r="AF202" s="86">
        <f>$AA233</f>
        <v>0</v>
      </c>
      <c r="AG202" s="86">
        <f>AB235</f>
        <v>2376.0139611141258</v>
      </c>
      <c r="AH202" s="88">
        <v>0</v>
      </c>
      <c r="AI202" s="68">
        <f>IF(AE202="EXP",$AB233,IF(AE202="LB",$AB234,$AB235))</f>
        <v>2376.0139611141258</v>
      </c>
      <c r="AJ202" s="86">
        <f t="shared" si="81"/>
        <v>2376.0139611141258</v>
      </c>
      <c r="AK202" s="87">
        <f t="shared" si="82"/>
        <v>0</v>
      </c>
      <c r="AL202" s="69">
        <f t="shared" si="83"/>
        <v>2376.0139611141258</v>
      </c>
      <c r="AM202" s="67" t="s">
        <v>33</v>
      </c>
      <c r="AN202" s="86">
        <f>$AA233</f>
        <v>0</v>
      </c>
      <c r="AO202" s="86">
        <f>AB234</f>
        <v>1861.8987661585982</v>
      </c>
      <c r="AP202" s="88">
        <v>0</v>
      </c>
      <c r="AQ202" s="68">
        <f>IF(AM202="EXP",$AB233,IF(AM202="LB",$AB234,$AB235))</f>
        <v>1861.8987661585982</v>
      </c>
      <c r="AR202" s="86">
        <f t="shared" si="84"/>
        <v>1861.8987661585982</v>
      </c>
      <c r="AS202" s="87">
        <f t="shared" si="85"/>
        <v>0</v>
      </c>
      <c r="AT202" s="69">
        <f t="shared" si="86"/>
        <v>1861.8987661585982</v>
      </c>
    </row>
    <row r="203" spans="21:46" ht="16.2" thickBot="1">
      <c r="U203" s="7"/>
      <c r="V203" s="60" t="s">
        <v>96</v>
      </c>
      <c r="W203" s="85"/>
      <c r="X203" s="72">
        <f>SUM(X200:X202)</f>
        <v>0</v>
      </c>
      <c r="Y203" s="72">
        <f>SUM(Y200:Y202)</f>
        <v>38535.569226383712</v>
      </c>
      <c r="Z203" s="88"/>
      <c r="AA203" s="72">
        <f>SUM(AA200:AA202)</f>
        <v>38535.569226383712</v>
      </c>
      <c r="AB203" s="72">
        <f>SUM(AB200:AB202)</f>
        <v>38535.569226383712</v>
      </c>
      <c r="AC203" s="87">
        <f t="shared" si="79"/>
        <v>0</v>
      </c>
      <c r="AD203" s="72">
        <f>SUM(AD200:AD202)</f>
        <v>38535.569226383712</v>
      </c>
      <c r="AE203" s="67"/>
      <c r="AF203" s="72">
        <f>SUM(AF200:AF202)</f>
        <v>0</v>
      </c>
      <c r="AG203" s="72">
        <f>SUM(AG200:AG202)</f>
        <v>40146.462924278159</v>
      </c>
      <c r="AH203" s="88"/>
      <c r="AI203" s="72">
        <f>SUM(AI200:AI202)</f>
        <v>40146.462924278159</v>
      </c>
      <c r="AJ203" s="72">
        <f>SUM(AJ200:AJ202)</f>
        <v>40146.462924278159</v>
      </c>
      <c r="AK203" s="87">
        <f t="shared" si="82"/>
        <v>0</v>
      </c>
      <c r="AL203" s="72">
        <f>SUM(AL200:AL202)</f>
        <v>40146.462924278159</v>
      </c>
      <c r="AM203" s="71"/>
      <c r="AN203" s="72">
        <f>SUM(AN200:AN202)</f>
        <v>0</v>
      </c>
      <c r="AO203" s="72">
        <f>SUM(AO200:AO202)</f>
        <v>36924.675528489264</v>
      </c>
      <c r="AP203" s="88"/>
      <c r="AQ203" s="72">
        <f>SUM(AQ200:AQ202)</f>
        <v>36924.675528489264</v>
      </c>
      <c r="AR203" s="72">
        <f>SUM(AR200:AR202)</f>
        <v>36924.675528489264</v>
      </c>
      <c r="AS203" s="87">
        <f t="shared" si="85"/>
        <v>0</v>
      </c>
      <c r="AT203" s="72">
        <f>SUM(AT200:AT202)</f>
        <v>36924.675528489264</v>
      </c>
    </row>
    <row r="204" spans="21:46">
      <c r="U204" s="7"/>
      <c r="V204" s="60"/>
      <c r="W204" s="85"/>
      <c r="X204" s="86"/>
      <c r="Y204" s="86"/>
      <c r="Z204" s="88"/>
      <c r="AA204" s="68"/>
      <c r="AB204" s="68"/>
      <c r="AC204" s="68"/>
      <c r="AD204" s="69"/>
      <c r="AE204" s="67"/>
      <c r="AF204" s="86"/>
      <c r="AG204" s="86"/>
      <c r="AH204" s="88"/>
      <c r="AI204" s="68"/>
      <c r="AJ204" s="68"/>
      <c r="AK204" s="68"/>
      <c r="AL204" s="69"/>
      <c r="AM204" s="67"/>
      <c r="AN204" s="86"/>
      <c r="AO204" s="86"/>
      <c r="AP204" s="88"/>
      <c r="AQ204" s="68"/>
      <c r="AR204" s="68"/>
      <c r="AS204" s="68"/>
      <c r="AT204" s="69"/>
    </row>
    <row r="205" spans="21:46">
      <c r="U205" s="7" t="s">
        <v>101</v>
      </c>
      <c r="V205" s="60" t="s">
        <v>102</v>
      </c>
      <c r="W205" s="85" t="s">
        <v>50</v>
      </c>
      <c r="X205" s="86">
        <f>$AA236</f>
        <v>0</v>
      </c>
      <c r="Y205" s="86">
        <f>AB236</f>
        <v>32186.167905758404</v>
      </c>
      <c r="Z205" s="88">
        <v>0</v>
      </c>
      <c r="AA205" s="68">
        <f>IF(W205="EXP",$AB236,IF(W205="LB",$AB237,$AB238))</f>
        <v>32186.167905758404</v>
      </c>
      <c r="AB205" s="86">
        <f>AA205*(1+Z205)</f>
        <v>32186.167905758404</v>
      </c>
      <c r="AC205" s="87">
        <f>(AB205-Y205)/ABS(Y205)</f>
        <v>0</v>
      </c>
      <c r="AD205" s="69">
        <f>AB205+X205</f>
        <v>32186.167905758404</v>
      </c>
      <c r="AE205" s="67" t="s">
        <v>34</v>
      </c>
      <c r="AF205" s="86">
        <f>$AA236</f>
        <v>0</v>
      </c>
      <c r="AG205" s="86">
        <f>AB238</f>
        <v>33563.36822904471</v>
      </c>
      <c r="AH205" s="88">
        <v>0</v>
      </c>
      <c r="AI205" s="68">
        <f>IF(AE205="EXP",$AB236,IF(AE205="LB",$AB237,$AB238))</f>
        <v>33563.36822904471</v>
      </c>
      <c r="AJ205" s="86">
        <f>AI205*(1+AH205)</f>
        <v>33563.36822904471</v>
      </c>
      <c r="AK205" s="87">
        <f>(AJ205-AG205)/ABS(AG205)</f>
        <v>0</v>
      </c>
      <c r="AL205" s="69">
        <f>AJ205+AF205</f>
        <v>33563.36822904471</v>
      </c>
      <c r="AM205" s="67" t="s">
        <v>33</v>
      </c>
      <c r="AN205" s="86">
        <f>$AA236</f>
        <v>0</v>
      </c>
      <c r="AO205" s="86">
        <f>AB237</f>
        <v>30808.967582472098</v>
      </c>
      <c r="AP205" s="88">
        <v>0</v>
      </c>
      <c r="AQ205" s="68">
        <f>IF(AM205="EXP",$AB236,IF(AM205="LB",$AB237,$AB238))</f>
        <v>30808.967582472098</v>
      </c>
      <c r="AR205" s="86">
        <f>AQ205*(1+AP205)</f>
        <v>30808.967582472098</v>
      </c>
      <c r="AS205" s="87">
        <f>(AR205-AO205)/ABS(AO205)</f>
        <v>0</v>
      </c>
      <c r="AT205" s="69">
        <f>AR205+AN205</f>
        <v>30808.967582472098</v>
      </c>
    </row>
    <row r="206" spans="21:46">
      <c r="U206" s="7" t="s">
        <v>101</v>
      </c>
      <c r="V206" s="60" t="s">
        <v>103</v>
      </c>
      <c r="W206" s="85" t="s">
        <v>50</v>
      </c>
      <c r="X206" s="86">
        <f>$AA239</f>
        <v>0</v>
      </c>
      <c r="Y206" s="86">
        <f>AB239</f>
        <v>4264.5299687993611</v>
      </c>
      <c r="Z206" s="88">
        <v>0</v>
      </c>
      <c r="AA206" s="68">
        <f>IF(W206="EXP",$AB239,IF(W206="LB",$AB240,$AB241))</f>
        <v>4264.5299687993611</v>
      </c>
      <c r="AB206" s="86">
        <f t="shared" ref="AB206:AB207" si="87">AA206*(1+Z206)</f>
        <v>4264.5299687993611</v>
      </c>
      <c r="AC206" s="87">
        <f t="shared" ref="AC206:AC208" si="88">(AB206-Y206)/ABS(Y206)</f>
        <v>0</v>
      </c>
      <c r="AD206" s="69">
        <f t="shared" ref="AD206:AD207" si="89">AB206+X206</f>
        <v>4264.5299687993611</v>
      </c>
      <c r="AE206" s="67" t="s">
        <v>34</v>
      </c>
      <c r="AF206" s="86">
        <f>$AA239</f>
        <v>0</v>
      </c>
      <c r="AG206" s="86">
        <f>AB241</f>
        <v>4570.5896340137206</v>
      </c>
      <c r="AH206" s="88">
        <v>0</v>
      </c>
      <c r="AI206" s="68">
        <f>IF(AE206="EXP",$AB239,IF(AE206="LB",$AB240,$AB241))</f>
        <v>4570.5896340137206</v>
      </c>
      <c r="AJ206" s="86">
        <f t="shared" ref="AJ206:AJ207" si="90">AI206*(1+AH206)</f>
        <v>4570.5896340137206</v>
      </c>
      <c r="AK206" s="87">
        <f t="shared" ref="AK206:AK208" si="91">(AJ206-AG206)/ABS(AG206)</f>
        <v>0</v>
      </c>
      <c r="AL206" s="69">
        <f t="shared" ref="AL206:AL207" si="92">AJ206+AF206</f>
        <v>4570.5896340137206</v>
      </c>
      <c r="AM206" s="67" t="s">
        <v>33</v>
      </c>
      <c r="AN206" s="86">
        <f>$AA239</f>
        <v>0</v>
      </c>
      <c r="AO206" s="86">
        <f>AB240</f>
        <v>3958.4703035850002</v>
      </c>
      <c r="AP206" s="88">
        <v>0</v>
      </c>
      <c r="AQ206" s="68">
        <f>IF(AM206="EXP",$AB239,IF(AM206="LB",$AB240,$AB241))</f>
        <v>3958.4703035850002</v>
      </c>
      <c r="AR206" s="86">
        <f t="shared" ref="AR206:AR207" si="93">AQ206*(1+AP206)</f>
        <v>3958.4703035850002</v>
      </c>
      <c r="AS206" s="87">
        <f t="shared" ref="AS206:AS208" si="94">(AR206-AO206)/ABS(AO206)</f>
        <v>0</v>
      </c>
      <c r="AT206" s="69">
        <f t="shared" ref="AT206:AT207" si="95">AR206+AN206</f>
        <v>3958.4703035850002</v>
      </c>
    </row>
    <row r="207" spans="21:46">
      <c r="U207" s="7" t="s">
        <v>101</v>
      </c>
      <c r="V207" s="60" t="s">
        <v>104</v>
      </c>
      <c r="W207" s="85" t="s">
        <v>50</v>
      </c>
      <c r="X207" s="86">
        <f>$AA242</f>
        <v>0</v>
      </c>
      <c r="Y207" s="86">
        <f>AB242</f>
        <v>2234.5236363636377</v>
      </c>
      <c r="Z207" s="88">
        <v>0</v>
      </c>
      <c r="AA207" s="68">
        <f>IF(W207="EXP",$AB242,IF(W207="LB",$AB243,$AB244))</f>
        <v>2234.5236363636377</v>
      </c>
      <c r="AB207" s="86">
        <f t="shared" si="87"/>
        <v>2234.5236363636377</v>
      </c>
      <c r="AC207" s="87">
        <f t="shared" si="88"/>
        <v>0</v>
      </c>
      <c r="AD207" s="69">
        <f t="shared" si="89"/>
        <v>2234.5236363636377</v>
      </c>
      <c r="AE207" s="67" t="s">
        <v>34</v>
      </c>
      <c r="AF207" s="86">
        <f>$AA242</f>
        <v>0</v>
      </c>
      <c r="AG207" s="86">
        <f>AB244</f>
        <v>2460.2352045334478</v>
      </c>
      <c r="AH207" s="88">
        <v>0</v>
      </c>
      <c r="AI207" s="68">
        <f>IF(AE207="EXP",$AB242,IF(AE207="LB",$AB243,$AB244))</f>
        <v>2460.2352045334478</v>
      </c>
      <c r="AJ207" s="86">
        <f t="shared" si="90"/>
        <v>2460.2352045334478</v>
      </c>
      <c r="AK207" s="87">
        <f t="shared" si="91"/>
        <v>0</v>
      </c>
      <c r="AL207" s="69">
        <f t="shared" si="92"/>
        <v>2460.2352045334478</v>
      </c>
      <c r="AM207" s="67" t="s">
        <v>33</v>
      </c>
      <c r="AN207" s="86">
        <f>$AA242</f>
        <v>0</v>
      </c>
      <c r="AO207" s="86">
        <f>AB243</f>
        <v>2008.8120681938271</v>
      </c>
      <c r="AP207" s="88">
        <v>0</v>
      </c>
      <c r="AQ207" s="68">
        <f>IF(AM207="EXP",$AB242,IF(AM207="LB",$AB243,$AB244))</f>
        <v>2008.8120681938271</v>
      </c>
      <c r="AR207" s="86">
        <f t="shared" si="93"/>
        <v>2008.8120681938271</v>
      </c>
      <c r="AS207" s="87">
        <f t="shared" si="94"/>
        <v>0</v>
      </c>
      <c r="AT207" s="69">
        <f t="shared" si="95"/>
        <v>2008.8120681938271</v>
      </c>
    </row>
    <row r="208" spans="21:46" ht="16.2" thickBot="1">
      <c r="U208" s="7"/>
      <c r="V208" s="60" t="s">
        <v>96</v>
      </c>
      <c r="W208" s="85"/>
      <c r="X208" s="72">
        <f>SUM(X205:X207)</f>
        <v>0</v>
      </c>
      <c r="Y208" s="72">
        <f>SUM(Y205:Y207)</f>
        <v>38685.221510921401</v>
      </c>
      <c r="Z208" s="88"/>
      <c r="AA208" s="72">
        <f>SUM(AA205:AA207)</f>
        <v>38685.221510921401</v>
      </c>
      <c r="AB208" s="72">
        <f>SUM(AB205:AB207)</f>
        <v>38685.221510921401</v>
      </c>
      <c r="AC208" s="87">
        <f t="shared" si="88"/>
        <v>0</v>
      </c>
      <c r="AD208" s="72">
        <f>SUM(AD205:AD207)</f>
        <v>38685.221510921401</v>
      </c>
      <c r="AE208" s="67"/>
      <c r="AF208" s="72">
        <f>SUM(AF205:AF207)</f>
        <v>0</v>
      </c>
      <c r="AG208" s="72">
        <f>SUM(AG205:AG207)</f>
        <v>40594.193067591877</v>
      </c>
      <c r="AH208" s="88"/>
      <c r="AI208" s="72">
        <f>SUM(AI205:AI207)</f>
        <v>40594.193067591877</v>
      </c>
      <c r="AJ208" s="72">
        <f>SUM(AJ205:AJ207)</f>
        <v>40594.193067591877</v>
      </c>
      <c r="AK208" s="87">
        <f t="shared" si="91"/>
        <v>0</v>
      </c>
      <c r="AL208" s="72">
        <f>SUM(AL205:AL207)</f>
        <v>40594.193067591877</v>
      </c>
      <c r="AM208" s="71"/>
      <c r="AN208" s="72">
        <f>SUM(AN205:AN207)</f>
        <v>0</v>
      </c>
      <c r="AO208" s="72">
        <f>SUM(AO205:AO207)</f>
        <v>36776.249954250932</v>
      </c>
      <c r="AP208" s="88"/>
      <c r="AQ208" s="72">
        <f>SUM(AQ205:AQ207)</f>
        <v>36776.249954250932</v>
      </c>
      <c r="AR208" s="72">
        <f>SUM(AR205:AR207)</f>
        <v>36776.249954250932</v>
      </c>
      <c r="AS208" s="87">
        <f t="shared" si="94"/>
        <v>0</v>
      </c>
      <c r="AT208" s="72">
        <f>SUM(AT205:AT207)</f>
        <v>36776.249954250932</v>
      </c>
    </row>
    <row r="209" spans="20:69">
      <c r="W209" s="85"/>
      <c r="X209" s="69"/>
      <c r="Y209" s="69"/>
      <c r="Z209" s="89"/>
      <c r="AA209" s="69"/>
      <c r="AB209" s="69"/>
      <c r="AC209" s="69"/>
      <c r="AD209" s="69"/>
      <c r="AE209" s="85"/>
      <c r="AF209" s="69"/>
      <c r="AG209" s="69"/>
      <c r="AH209" s="89"/>
      <c r="AI209" s="69"/>
      <c r="AJ209" s="69"/>
      <c r="AK209" s="69"/>
      <c r="AL209" s="69"/>
      <c r="AM209" s="39"/>
      <c r="AN209" s="69"/>
      <c r="AO209" s="69"/>
      <c r="AP209" s="89"/>
      <c r="AQ209" s="69"/>
      <c r="AR209" s="69"/>
      <c r="AS209" s="69"/>
      <c r="AT209" s="69"/>
    </row>
    <row r="210" spans="20:69">
      <c r="U210" s="7"/>
      <c r="V210" s="85" t="s">
        <v>10</v>
      </c>
      <c r="W210" s="85"/>
      <c r="X210" s="69"/>
      <c r="Y210" s="69"/>
      <c r="Z210" s="89"/>
      <c r="AA210" s="69"/>
      <c r="AB210" s="85"/>
      <c r="AC210" s="87">
        <f>(AC203+AC208+AC198)/3</f>
        <v>0</v>
      </c>
      <c r="AD210" s="69"/>
      <c r="AE210" s="89"/>
      <c r="AF210" s="69"/>
      <c r="AG210" s="69"/>
      <c r="AH210" s="69"/>
      <c r="AI210" s="39"/>
      <c r="AJ210" s="85"/>
      <c r="AK210" s="87">
        <f>(AK203+AK208+AK198)/3</f>
        <v>0</v>
      </c>
      <c r="AL210" s="69"/>
      <c r="AM210" s="89"/>
      <c r="AN210" s="69"/>
      <c r="AO210" s="69"/>
      <c r="AR210" s="85"/>
      <c r="AS210" s="87">
        <f>(AS203+AS208+AS198)/3</f>
        <v>0</v>
      </c>
      <c r="AT210" s="69"/>
    </row>
    <row r="211" spans="20:69">
      <c r="U211" s="7"/>
      <c r="V211" s="60"/>
      <c r="AE211" s="90"/>
      <c r="AJ211" s="90"/>
    </row>
    <row r="212" spans="20:69">
      <c r="W212" s="83" t="s">
        <v>127</v>
      </c>
      <c r="X212" s="6" t="s">
        <v>128</v>
      </c>
      <c r="AE212" s="82"/>
    </row>
    <row r="213" spans="20:69">
      <c r="W213" s="84" t="s">
        <v>127</v>
      </c>
      <c r="X213" s="6" t="s">
        <v>129</v>
      </c>
      <c r="AM213" s="10"/>
      <c r="AN213" s="10"/>
      <c r="AU213" s="10"/>
      <c r="AV213" s="10"/>
      <c r="AW213" s="6"/>
      <c r="AX213" s="6"/>
      <c r="AY213" s="6"/>
      <c r="AZ213" s="6"/>
      <c r="BA213" s="6"/>
    </row>
    <row r="214" spans="20:69">
      <c r="AM214" s="10"/>
      <c r="AN214" s="10"/>
      <c r="AU214" s="10"/>
      <c r="AV214" s="10"/>
      <c r="AW214" s="6"/>
      <c r="AX214" s="6"/>
      <c r="AY214" s="6"/>
      <c r="AZ214" s="6"/>
      <c r="BA214" s="6"/>
    </row>
    <row r="215" spans="20:69">
      <c r="AM215" s="10"/>
      <c r="AN215" s="10"/>
      <c r="AU215" s="10"/>
      <c r="AV215" s="10"/>
      <c r="AW215" s="6"/>
      <c r="AX215" s="6"/>
      <c r="AY215" s="6"/>
      <c r="AZ215" s="6"/>
      <c r="BA215" s="6"/>
    </row>
    <row r="216" spans="20:69">
      <c r="T216" s="92" t="s">
        <v>130</v>
      </c>
      <c r="W216" s="10" t="s">
        <v>81</v>
      </c>
      <c r="X216" s="10" t="s">
        <v>131</v>
      </c>
      <c r="AE216" s="10" t="s">
        <v>81</v>
      </c>
      <c r="AF216" s="10" t="s">
        <v>132</v>
      </c>
      <c r="AM216" s="10" t="s">
        <v>81</v>
      </c>
      <c r="AN216" s="10" t="s">
        <v>133</v>
      </c>
      <c r="AU216" s="10" t="s">
        <v>81</v>
      </c>
      <c r="AV216" s="10" t="s">
        <v>36</v>
      </c>
      <c r="AW216" s="6"/>
      <c r="AX216" s="6"/>
      <c r="AY216" s="6"/>
      <c r="AZ216" s="6"/>
      <c r="BA216" s="6"/>
      <c r="BC216" s="10" t="s">
        <v>81</v>
      </c>
      <c r="BD216" s="10" t="s">
        <v>131</v>
      </c>
      <c r="BE216" s="6"/>
      <c r="BF216" s="6"/>
      <c r="BG216" s="6"/>
      <c r="BH216" s="6"/>
      <c r="BI216" s="6"/>
      <c r="BK216" s="10" t="s">
        <v>81</v>
      </c>
      <c r="BL216" s="10" t="s">
        <v>44</v>
      </c>
      <c r="BM216" s="6"/>
      <c r="BN216" s="6"/>
      <c r="BO216" s="6"/>
      <c r="BP216" s="6"/>
      <c r="BQ216" s="6"/>
    </row>
    <row r="217" spans="20:69">
      <c r="W217" s="10" t="s">
        <v>114</v>
      </c>
      <c r="X217" s="10" t="s">
        <v>113</v>
      </c>
      <c r="Y217" s="6" t="s">
        <v>134</v>
      </c>
      <c r="AA217" s="10" t="s">
        <v>47</v>
      </c>
      <c r="AB217" s="10" t="s">
        <v>48</v>
      </c>
      <c r="AC217" s="10" t="s">
        <v>164</v>
      </c>
      <c r="AE217" s="10" t="s">
        <v>114</v>
      </c>
      <c r="AF217" s="10" t="s">
        <v>113</v>
      </c>
      <c r="AG217" s="6" t="s">
        <v>134</v>
      </c>
      <c r="AI217" s="10" t="s">
        <v>47</v>
      </c>
      <c r="AJ217" s="10" t="s">
        <v>48</v>
      </c>
      <c r="AK217" s="10" t="s">
        <v>164</v>
      </c>
      <c r="AM217" s="10" t="s">
        <v>114</v>
      </c>
      <c r="AN217" s="10" t="s">
        <v>113</v>
      </c>
      <c r="AO217" s="6" t="s">
        <v>134</v>
      </c>
      <c r="AQ217" s="10" t="s">
        <v>47</v>
      </c>
      <c r="AR217" s="10" t="s">
        <v>48</v>
      </c>
      <c r="AS217" s="10" t="s">
        <v>164</v>
      </c>
      <c r="AU217" s="10" t="s">
        <v>114</v>
      </c>
      <c r="AV217" s="41" t="s">
        <v>113</v>
      </c>
      <c r="AW217" t="s">
        <v>134</v>
      </c>
      <c r="AX217" s="6"/>
      <c r="AY217" s="10" t="s">
        <v>47</v>
      </c>
      <c r="AZ217" s="10" t="s">
        <v>48</v>
      </c>
      <c r="BA217" s="10" t="s">
        <v>164</v>
      </c>
      <c r="BC217" s="10" t="s">
        <v>114</v>
      </c>
      <c r="BD217" s="41" t="s">
        <v>113</v>
      </c>
      <c r="BE217" t="s">
        <v>134</v>
      </c>
      <c r="BF217" s="6"/>
      <c r="BG217" s="10" t="s">
        <v>47</v>
      </c>
      <c r="BH217" s="10" t="s">
        <v>48</v>
      </c>
      <c r="BI217" s="10" t="s">
        <v>164</v>
      </c>
      <c r="BK217" s="10" t="s">
        <v>114</v>
      </c>
      <c r="BL217" s="41" t="s">
        <v>113</v>
      </c>
      <c r="BM217" t="s">
        <v>134</v>
      </c>
      <c r="BN217" s="6"/>
      <c r="BO217" s="10" t="s">
        <v>47</v>
      </c>
      <c r="BP217" s="10" t="s">
        <v>48</v>
      </c>
      <c r="BQ217" s="10" t="s">
        <v>53</v>
      </c>
    </row>
    <row r="218" spans="20:69">
      <c r="W218" s="6" t="s">
        <v>50</v>
      </c>
      <c r="X218" s="7" t="s">
        <v>92</v>
      </c>
      <c r="Y218" s="60" t="s">
        <v>93</v>
      </c>
      <c r="Z218" s="6" t="s">
        <v>50</v>
      </c>
      <c r="AA218" s="24">
        <v>0</v>
      </c>
      <c r="AB218" s="24">
        <v>23527.6791969324</v>
      </c>
      <c r="AC218" s="24">
        <v>23527.6791969324</v>
      </c>
      <c r="AE218" s="6" t="s">
        <v>50</v>
      </c>
      <c r="AF218" s="7" t="s">
        <v>92</v>
      </c>
      <c r="AG218" s="60" t="s">
        <v>93</v>
      </c>
      <c r="AH218" s="6" t="s">
        <v>50</v>
      </c>
      <c r="AI218" s="24">
        <v>0</v>
      </c>
      <c r="AJ218" s="24">
        <v>23880.120948796837</v>
      </c>
      <c r="AK218" s="24">
        <v>23880.120948796837</v>
      </c>
      <c r="AM218" s="6" t="s">
        <v>50</v>
      </c>
      <c r="AN218" s="7" t="s">
        <v>92</v>
      </c>
      <c r="AO218" s="60" t="s">
        <v>93</v>
      </c>
      <c r="AP218" s="6" t="s">
        <v>50</v>
      </c>
      <c r="AQ218" s="24">
        <v>0</v>
      </c>
      <c r="AR218" s="24">
        <v>23734.737668141835</v>
      </c>
      <c r="AS218" s="24">
        <v>23734.737668141835</v>
      </c>
      <c r="AU218" s="6" t="s">
        <v>50</v>
      </c>
      <c r="AV218" s="7" t="s">
        <v>92</v>
      </c>
      <c r="AW218" s="60" t="s">
        <v>93</v>
      </c>
      <c r="AX218" s="6" t="s">
        <v>50</v>
      </c>
      <c r="AY218" s="63">
        <v>0</v>
      </c>
      <c r="AZ218" s="63">
        <v>23201.514705889665</v>
      </c>
      <c r="BA218" s="63">
        <v>23201.514705889665</v>
      </c>
      <c r="BC218" s="6" t="s">
        <v>50</v>
      </c>
      <c r="BD218" s="7" t="s">
        <v>92</v>
      </c>
      <c r="BE218" s="60" t="s">
        <v>93</v>
      </c>
      <c r="BF218" s="6" t="s">
        <v>50</v>
      </c>
      <c r="BG218" s="63">
        <v>0</v>
      </c>
      <c r="BH218" s="63">
        <v>23527.6791969324</v>
      </c>
      <c r="BI218" s="63">
        <v>23527.6791969324</v>
      </c>
      <c r="BK218" s="6" t="s">
        <v>50</v>
      </c>
      <c r="BL218" s="7" t="s">
        <v>92</v>
      </c>
      <c r="BM218" s="60" t="s">
        <v>93</v>
      </c>
      <c r="BN218" s="6" t="s">
        <v>50</v>
      </c>
      <c r="BO218" s="24">
        <v>0</v>
      </c>
      <c r="BP218" s="37">
        <v>23975.873215135391</v>
      </c>
      <c r="BQ218" s="24">
        <v>23975.873215135391</v>
      </c>
    </row>
    <row r="219" spans="20:69">
      <c r="W219" s="6" t="s">
        <v>33</v>
      </c>
      <c r="Z219" s="6" t="s">
        <v>33</v>
      </c>
      <c r="AA219" s="24">
        <v>0</v>
      </c>
      <c r="AB219" s="24">
        <v>22527.614299514014</v>
      </c>
      <c r="AC219" s="24">
        <v>22527.614299514014</v>
      </c>
      <c r="AE219" s="6" t="s">
        <v>33</v>
      </c>
      <c r="AH219" s="6" t="s">
        <v>33</v>
      </c>
      <c r="AI219" s="24">
        <v>0</v>
      </c>
      <c r="AJ219" s="24">
        <v>20462.405756606495</v>
      </c>
      <c r="AK219" s="24">
        <v>20462.405756606495</v>
      </c>
      <c r="AM219" s="6" t="s">
        <v>33</v>
      </c>
      <c r="AP219" s="6" t="s">
        <v>33</v>
      </c>
      <c r="AQ219" s="24">
        <v>0</v>
      </c>
      <c r="AR219" s="24">
        <v>21308.9415735412</v>
      </c>
      <c r="AS219" s="24">
        <v>21308.9415735412</v>
      </c>
      <c r="AU219" s="6" t="s">
        <v>33</v>
      </c>
      <c r="AX219" s="6" t="s">
        <v>33</v>
      </c>
      <c r="AY219" s="63">
        <v>0</v>
      </c>
      <c r="AZ219" s="63">
        <v>21258.679371716673</v>
      </c>
      <c r="BA219" s="63">
        <v>21258.679371716673</v>
      </c>
      <c r="BC219" s="6" t="s">
        <v>33</v>
      </c>
      <c r="BF219" s="6" t="s">
        <v>33</v>
      </c>
      <c r="BG219" s="63">
        <v>0</v>
      </c>
      <c r="BH219" s="63">
        <v>22527.614299514014</v>
      </c>
      <c r="BI219" s="63">
        <v>22527.614299514014</v>
      </c>
      <c r="BK219" s="6" t="s">
        <v>33</v>
      </c>
      <c r="BN219" s="6" t="s">
        <v>33</v>
      </c>
      <c r="BO219" s="24">
        <v>0</v>
      </c>
      <c r="BP219" s="37">
        <v>21985.077034188977</v>
      </c>
      <c r="BQ219" s="24">
        <v>21985.077034188977</v>
      </c>
    </row>
    <row r="220" spans="20:69">
      <c r="W220" s="6" t="s">
        <v>34</v>
      </c>
      <c r="Z220" s="6" t="s">
        <v>34</v>
      </c>
      <c r="AA220" s="24">
        <v>0</v>
      </c>
      <c r="AB220" s="24">
        <v>24527.744094350783</v>
      </c>
      <c r="AC220" s="24">
        <v>24527.744094350783</v>
      </c>
      <c r="AE220" s="6" t="s">
        <v>34</v>
      </c>
      <c r="AH220" s="6" t="s">
        <v>34</v>
      </c>
      <c r="AI220" s="24">
        <v>0</v>
      </c>
      <c r="AJ220" s="24">
        <v>27297.83614098718</v>
      </c>
      <c r="AK220" s="24">
        <v>27297.83614098718</v>
      </c>
      <c r="AM220" s="6" t="s">
        <v>34</v>
      </c>
      <c r="AP220" s="6" t="s">
        <v>34</v>
      </c>
      <c r="AQ220" s="24">
        <v>0</v>
      </c>
      <c r="AR220" s="24">
        <v>26160.533762742467</v>
      </c>
      <c r="AS220" s="24">
        <v>26160.533762742467</v>
      </c>
      <c r="AU220" s="6" t="s">
        <v>34</v>
      </c>
      <c r="AX220" s="6" t="s">
        <v>34</v>
      </c>
      <c r="AY220" s="63">
        <v>0</v>
      </c>
      <c r="AZ220" s="63">
        <v>25144.350040062654</v>
      </c>
      <c r="BA220" s="63">
        <v>25144.350040062654</v>
      </c>
      <c r="BC220" s="6" t="s">
        <v>34</v>
      </c>
      <c r="BF220" s="6" t="s">
        <v>34</v>
      </c>
      <c r="BG220" s="63">
        <v>0</v>
      </c>
      <c r="BH220" s="63">
        <v>24527.744094350783</v>
      </c>
      <c r="BI220" s="63">
        <v>24527.744094350783</v>
      </c>
      <c r="BK220" s="6" t="s">
        <v>34</v>
      </c>
      <c r="BN220" s="6" t="s">
        <v>34</v>
      </c>
      <c r="BO220" s="24">
        <v>0</v>
      </c>
      <c r="BP220" s="37">
        <v>25966.669396081801</v>
      </c>
      <c r="BQ220" s="24">
        <v>25966.669396081801</v>
      </c>
    </row>
    <row r="221" spans="20:69">
      <c r="X221" s="7" t="s">
        <v>92</v>
      </c>
      <c r="Y221" s="60" t="s">
        <v>94</v>
      </c>
      <c r="Z221" s="6" t="s">
        <v>50</v>
      </c>
      <c r="AA221" s="24">
        <v>0</v>
      </c>
      <c r="AB221" s="24">
        <v>7822.6282946204465</v>
      </c>
      <c r="AC221" s="24">
        <v>7822.6282946204465</v>
      </c>
      <c r="AF221" s="7" t="s">
        <v>92</v>
      </c>
      <c r="AG221" s="60" t="s">
        <v>94</v>
      </c>
      <c r="AH221" s="6" t="s">
        <v>50</v>
      </c>
      <c r="AI221" s="24">
        <v>0</v>
      </c>
      <c r="AJ221" s="24">
        <v>7491.4505637214334</v>
      </c>
      <c r="AK221" s="24">
        <v>7491.4505637214334</v>
      </c>
      <c r="AN221" s="7" t="s">
        <v>92</v>
      </c>
      <c r="AO221" s="60" t="s">
        <v>94</v>
      </c>
      <c r="AP221" s="6" t="s">
        <v>50</v>
      </c>
      <c r="AQ221" s="24">
        <v>0</v>
      </c>
      <c r="AR221" s="24">
        <v>7647.9491808573594</v>
      </c>
      <c r="AS221" s="24">
        <v>7647.9491808573594</v>
      </c>
      <c r="AU221" s="6"/>
      <c r="AV221" s="7" t="s">
        <v>92</v>
      </c>
      <c r="AW221" s="60" t="s">
        <v>94</v>
      </c>
      <c r="AX221" s="6" t="s">
        <v>50</v>
      </c>
      <c r="AY221" s="63">
        <v>0</v>
      </c>
      <c r="AZ221" s="63">
        <v>7436.519467751813</v>
      </c>
      <c r="BA221" s="63">
        <v>7436.519467751813</v>
      </c>
      <c r="BC221" s="6"/>
      <c r="BD221" s="7" t="s">
        <v>92</v>
      </c>
      <c r="BE221" s="60" t="s">
        <v>94</v>
      </c>
      <c r="BF221" s="6" t="s">
        <v>50</v>
      </c>
      <c r="BG221" s="63">
        <v>0</v>
      </c>
      <c r="BH221" s="63">
        <v>7822.6282946204465</v>
      </c>
      <c r="BI221" s="63">
        <v>7822.6282946204465</v>
      </c>
      <c r="BK221" s="6"/>
      <c r="BL221" s="7" t="s">
        <v>92</v>
      </c>
      <c r="BM221" s="60" t="s">
        <v>94</v>
      </c>
      <c r="BN221" s="6" t="s">
        <v>50</v>
      </c>
      <c r="BO221" s="63">
        <v>0</v>
      </c>
      <c r="BP221" s="63">
        <v>7532.8626556985982</v>
      </c>
      <c r="BQ221" s="63">
        <v>7532.8626556985982</v>
      </c>
    </row>
    <row r="222" spans="20:69">
      <c r="X222" s="7"/>
      <c r="Y222" s="60"/>
      <c r="Z222" s="6" t="s">
        <v>33</v>
      </c>
      <c r="AA222" s="24">
        <v>0</v>
      </c>
      <c r="AB222" s="24">
        <v>7049.0218459972075</v>
      </c>
      <c r="AC222" s="24">
        <v>7049.0218459972075</v>
      </c>
      <c r="AF222" s="7"/>
      <c r="AG222" s="60"/>
      <c r="AH222" s="6" t="s">
        <v>33</v>
      </c>
      <c r="AI222" s="24">
        <v>0</v>
      </c>
      <c r="AJ222" s="24">
        <v>7119.873084400163</v>
      </c>
      <c r="AK222" s="24">
        <v>7119.873084400163</v>
      </c>
      <c r="AN222" s="7"/>
      <c r="AO222" s="60"/>
      <c r="AP222" s="6" t="s">
        <v>33</v>
      </c>
      <c r="AQ222" s="24">
        <v>0</v>
      </c>
      <c r="AR222" s="24">
        <v>6830.1714551892892</v>
      </c>
      <c r="AS222" s="24">
        <v>6830.1714551892892</v>
      </c>
      <c r="AU222" s="6"/>
      <c r="AV222" s="7"/>
      <c r="AW222" s="60"/>
      <c r="AX222" s="6" t="s">
        <v>33</v>
      </c>
      <c r="AY222" s="63">
        <v>0</v>
      </c>
      <c r="AZ222" s="63">
        <v>7029.1881978582396</v>
      </c>
      <c r="BA222" s="63">
        <v>7029.1881978582396</v>
      </c>
      <c r="BC222" s="6"/>
      <c r="BD222" s="7"/>
      <c r="BE222" s="60"/>
      <c r="BF222" s="6" t="s">
        <v>33</v>
      </c>
      <c r="BG222" s="63">
        <v>0</v>
      </c>
      <c r="BH222" s="63">
        <v>7049.0218459972075</v>
      </c>
      <c r="BI222" s="63">
        <v>7049.0218459972075</v>
      </c>
      <c r="BK222" s="6"/>
      <c r="BL222" s="7"/>
      <c r="BM222" s="60"/>
      <c r="BN222" s="6" t="s">
        <v>33</v>
      </c>
      <c r="BO222" s="63">
        <v>0</v>
      </c>
      <c r="BP222" s="63">
        <v>7233.6570830285928</v>
      </c>
      <c r="BQ222" s="63">
        <v>7233.6570830285928</v>
      </c>
    </row>
    <row r="223" spans="20:69">
      <c r="X223" s="7"/>
      <c r="Y223" s="60"/>
      <c r="Z223" s="6" t="s">
        <v>34</v>
      </c>
      <c r="AA223" s="24">
        <v>0</v>
      </c>
      <c r="AB223" s="24">
        <v>8596.2347432436854</v>
      </c>
      <c r="AC223" s="24">
        <v>8596.2347432436854</v>
      </c>
      <c r="AF223" s="7"/>
      <c r="AG223" s="60"/>
      <c r="AH223" s="6" t="s">
        <v>34</v>
      </c>
      <c r="AI223" s="24">
        <v>0</v>
      </c>
      <c r="AJ223" s="24">
        <v>7863.0280430427047</v>
      </c>
      <c r="AK223" s="24">
        <v>7863.0280430427047</v>
      </c>
      <c r="AN223" s="7"/>
      <c r="AO223" s="60"/>
      <c r="AP223" s="6" t="s">
        <v>34</v>
      </c>
      <c r="AQ223" s="24">
        <v>0</v>
      </c>
      <c r="AR223" s="24">
        <v>8465.7269065254295</v>
      </c>
      <c r="AS223" s="24">
        <v>8465.7269065254295</v>
      </c>
      <c r="AU223" s="6"/>
      <c r="AV223" s="7"/>
      <c r="AW223" s="60"/>
      <c r="AX223" s="6" t="s">
        <v>34</v>
      </c>
      <c r="AY223" s="63">
        <v>0</v>
      </c>
      <c r="AZ223" s="63">
        <v>7843.8507376453854</v>
      </c>
      <c r="BA223" s="63">
        <v>7843.8507376453854</v>
      </c>
      <c r="BC223" s="6"/>
      <c r="BD223" s="7"/>
      <c r="BE223" s="60"/>
      <c r="BF223" s="6" t="s">
        <v>34</v>
      </c>
      <c r="BG223" s="63">
        <v>0</v>
      </c>
      <c r="BH223" s="63">
        <v>8596.2347432436854</v>
      </c>
      <c r="BI223" s="63">
        <v>8596.2347432436854</v>
      </c>
      <c r="BK223" s="6"/>
      <c r="BL223" s="7"/>
      <c r="BM223" s="60"/>
      <c r="BN223" s="6" t="s">
        <v>34</v>
      </c>
      <c r="BO223" s="63">
        <v>0</v>
      </c>
      <c r="BP223" s="63">
        <v>7832.0682283686028</v>
      </c>
      <c r="BQ223" s="63">
        <v>7832.0682283686028</v>
      </c>
    </row>
    <row r="224" spans="20:69">
      <c r="X224" s="7" t="s">
        <v>92</v>
      </c>
      <c r="Y224" s="60" t="s">
        <v>95</v>
      </c>
      <c r="Z224" s="6" t="s">
        <v>50</v>
      </c>
      <c r="AA224" s="24">
        <v>0</v>
      </c>
      <c r="AB224" s="24">
        <v>7597.3853427822796</v>
      </c>
      <c r="AC224" s="24">
        <v>7597.3853427822796</v>
      </c>
      <c r="AF224" s="7" t="s">
        <v>92</v>
      </c>
      <c r="AG224" s="60" t="s">
        <v>95</v>
      </c>
      <c r="AH224" s="6" t="s">
        <v>50</v>
      </c>
      <c r="AI224" s="24">
        <v>0</v>
      </c>
      <c r="AJ224" s="24">
        <v>7808.4030729314181</v>
      </c>
      <c r="AK224" s="24">
        <v>7808.4030729314181</v>
      </c>
      <c r="AN224" s="7" t="s">
        <v>92</v>
      </c>
      <c r="AO224" s="60" t="s">
        <v>95</v>
      </c>
      <c r="AP224" s="6" t="s">
        <v>50</v>
      </c>
      <c r="AQ224" s="24">
        <v>0</v>
      </c>
      <c r="AR224" s="24">
        <v>7466.1376633014906</v>
      </c>
      <c r="AS224" s="24">
        <v>7466.1376633014906</v>
      </c>
      <c r="AU224" s="6"/>
      <c r="AV224" s="7" t="s">
        <v>92</v>
      </c>
      <c r="AW224" s="60" t="s">
        <v>95</v>
      </c>
      <c r="AX224" s="6" t="s">
        <v>50</v>
      </c>
      <c r="AY224" s="63">
        <v>0</v>
      </c>
      <c r="AZ224" s="63">
        <v>7351.4638703558958</v>
      </c>
      <c r="BA224" s="63">
        <v>7351.4638703558958</v>
      </c>
      <c r="BC224" s="6"/>
      <c r="BD224" s="7" t="s">
        <v>92</v>
      </c>
      <c r="BE224" s="60" t="s">
        <v>95</v>
      </c>
      <c r="BF224" s="6" t="s">
        <v>50</v>
      </c>
      <c r="BG224" s="63">
        <v>0</v>
      </c>
      <c r="BH224" s="63">
        <v>7597.3853427822796</v>
      </c>
      <c r="BI224" s="63">
        <v>7597.3853427822796</v>
      </c>
      <c r="BK224" s="6"/>
      <c r="BL224" s="7" t="s">
        <v>92</v>
      </c>
      <c r="BM224" s="60" t="s">
        <v>95</v>
      </c>
      <c r="BN224" s="6" t="s">
        <v>50</v>
      </c>
      <c r="BO224" s="63">
        <v>0</v>
      </c>
      <c r="BP224" s="63">
        <v>7906.580621063702</v>
      </c>
      <c r="BQ224" s="63">
        <v>7906.580621063702</v>
      </c>
    </row>
    <row r="225" spans="24:69">
      <c r="X225" s="7"/>
      <c r="Y225" s="60"/>
      <c r="Z225" s="6" t="s">
        <v>33</v>
      </c>
      <c r="AA225" s="24">
        <v>0</v>
      </c>
      <c r="AB225" s="24">
        <v>7033.5240570503456</v>
      </c>
      <c r="AC225" s="24">
        <v>7033.5240570503456</v>
      </c>
      <c r="AF225" s="7"/>
      <c r="AG225" s="60"/>
      <c r="AH225" s="6" t="s">
        <v>33</v>
      </c>
      <c r="AI225" s="24">
        <v>0</v>
      </c>
      <c r="AJ225" s="24">
        <v>7215.8191458809915</v>
      </c>
      <c r="AK225" s="24">
        <v>7215.8191458809915</v>
      </c>
      <c r="AN225" s="7"/>
      <c r="AO225" s="60"/>
      <c r="AP225" s="6" t="s">
        <v>33</v>
      </c>
      <c r="AQ225" s="24">
        <v>0</v>
      </c>
      <c r="AR225" s="24">
        <v>6547.0606810278787</v>
      </c>
      <c r="AS225" s="24">
        <v>6547.0606810278787</v>
      </c>
      <c r="AU225" s="6"/>
      <c r="AV225" s="7"/>
      <c r="AW225" s="60"/>
      <c r="AX225" s="6" t="s">
        <v>33</v>
      </c>
      <c r="AY225" s="63">
        <v>0</v>
      </c>
      <c r="AZ225" s="63">
        <v>6893.2680813564639</v>
      </c>
      <c r="BA225" s="63">
        <v>6893.2680813564639</v>
      </c>
      <c r="BC225" s="6"/>
      <c r="BD225" s="7"/>
      <c r="BE225" s="60"/>
      <c r="BF225" s="6" t="s">
        <v>33</v>
      </c>
      <c r="BG225" s="63">
        <v>0</v>
      </c>
      <c r="BH225" s="63">
        <v>7033.5240570503456</v>
      </c>
      <c r="BI225" s="63">
        <v>7033.5240570503456</v>
      </c>
      <c r="BK225" s="6"/>
      <c r="BL225" s="7"/>
      <c r="BM225" s="60"/>
      <c r="BN225" s="6" t="s">
        <v>33</v>
      </c>
      <c r="BO225" s="63">
        <v>0</v>
      </c>
      <c r="BP225" s="63">
        <v>7217.4826076411537</v>
      </c>
      <c r="BQ225" s="63">
        <v>7217.4826076411537</v>
      </c>
    </row>
    <row r="226" spans="24:69">
      <c r="X226" s="7"/>
      <c r="Y226" s="60"/>
      <c r="Z226" s="6" t="s">
        <v>34</v>
      </c>
      <c r="AA226" s="24">
        <v>0</v>
      </c>
      <c r="AB226" s="24">
        <v>8161.2466285142154</v>
      </c>
      <c r="AC226" s="24">
        <v>8161.2466285142154</v>
      </c>
      <c r="AF226" s="7"/>
      <c r="AG226" s="60"/>
      <c r="AH226" s="6" t="s">
        <v>34</v>
      </c>
      <c r="AI226" s="24">
        <v>0</v>
      </c>
      <c r="AJ226" s="24">
        <v>8400.9869999818457</v>
      </c>
      <c r="AK226" s="24">
        <v>8400.9869999818457</v>
      </c>
      <c r="AN226" s="7"/>
      <c r="AO226" s="60"/>
      <c r="AP226" s="6" t="s">
        <v>34</v>
      </c>
      <c r="AQ226" s="24">
        <v>0</v>
      </c>
      <c r="AR226" s="24">
        <v>8385.2146455751026</v>
      </c>
      <c r="AS226" s="24">
        <v>8385.2146455751026</v>
      </c>
      <c r="AU226" s="6"/>
      <c r="AV226" s="7"/>
      <c r="AW226" s="60"/>
      <c r="AX226" s="6" t="s">
        <v>34</v>
      </c>
      <c r="AY226" s="63">
        <v>0</v>
      </c>
      <c r="AZ226" s="63">
        <v>7809.6596593553277</v>
      </c>
      <c r="BA226" s="63">
        <v>7809.6596593553277</v>
      </c>
      <c r="BC226" s="6"/>
      <c r="BD226" s="7"/>
      <c r="BE226" s="60"/>
      <c r="BF226" s="6" t="s">
        <v>34</v>
      </c>
      <c r="BG226" s="63">
        <v>0</v>
      </c>
      <c r="BH226" s="63">
        <v>8161.2466285142154</v>
      </c>
      <c r="BI226" s="63">
        <v>8161.2466285142154</v>
      </c>
      <c r="BK226" s="6"/>
      <c r="BL226" s="7"/>
      <c r="BM226" s="60"/>
      <c r="BN226" s="6" t="s">
        <v>34</v>
      </c>
      <c r="BO226" s="63">
        <v>0</v>
      </c>
      <c r="BP226" s="63">
        <v>8595.6786344862521</v>
      </c>
      <c r="BQ226" s="63">
        <v>8595.6786344862521</v>
      </c>
    </row>
    <row r="227" spans="24:69">
      <c r="X227" s="7" t="s">
        <v>97</v>
      </c>
      <c r="Y227" s="60" t="s">
        <v>98</v>
      </c>
      <c r="Z227" s="6" t="s">
        <v>50</v>
      </c>
      <c r="AA227" s="24">
        <v>0</v>
      </c>
      <c r="AB227" s="24">
        <v>28218.049226383711</v>
      </c>
      <c r="AC227" s="24">
        <v>28218.049226383711</v>
      </c>
      <c r="AF227" s="7" t="s">
        <v>97</v>
      </c>
      <c r="AG227" s="60" t="s">
        <v>98</v>
      </c>
      <c r="AH227" s="6" t="s">
        <v>50</v>
      </c>
      <c r="AI227" s="24">
        <v>0</v>
      </c>
      <c r="AJ227" s="24">
        <v>28025.961673505532</v>
      </c>
      <c r="AK227" s="24">
        <v>28025.961673505532</v>
      </c>
      <c r="AN227" s="7" t="s">
        <v>97</v>
      </c>
      <c r="AO227" s="60" t="s">
        <v>98</v>
      </c>
      <c r="AP227" s="6" t="s">
        <v>50</v>
      </c>
      <c r="AQ227" s="24">
        <v>0</v>
      </c>
      <c r="AR227" s="24">
        <v>28159.919363377663</v>
      </c>
      <c r="AS227" s="24">
        <v>28159.919363377663</v>
      </c>
      <c r="AU227" s="6"/>
      <c r="AV227" s="7" t="s">
        <v>97</v>
      </c>
      <c r="AW227" s="60" t="s">
        <v>98</v>
      </c>
      <c r="AX227" s="6" t="s">
        <v>50</v>
      </c>
      <c r="AY227" s="63">
        <v>0</v>
      </c>
      <c r="AZ227" s="63">
        <v>27874.842361170402</v>
      </c>
      <c r="BA227" s="63">
        <v>27874.842361170402</v>
      </c>
      <c r="BC227" s="6"/>
      <c r="BD227" s="7" t="s">
        <v>97</v>
      </c>
      <c r="BE227" s="60" t="s">
        <v>98</v>
      </c>
      <c r="BF227" s="6" t="s">
        <v>50</v>
      </c>
      <c r="BG227" s="63">
        <v>0</v>
      </c>
      <c r="BH227" s="63">
        <v>28218.049226383711</v>
      </c>
      <c r="BI227" s="63">
        <v>28218.049226383711</v>
      </c>
      <c r="BK227" s="6"/>
      <c r="BL227" s="7" t="s">
        <v>97</v>
      </c>
      <c r="BM227" s="60" t="s">
        <v>98</v>
      </c>
      <c r="BN227" s="6" t="s">
        <v>50</v>
      </c>
      <c r="BO227" s="63">
        <v>0</v>
      </c>
      <c r="BP227" s="63">
        <v>28445.905840928717</v>
      </c>
      <c r="BQ227" s="63">
        <v>28445.905840928717</v>
      </c>
    </row>
    <row r="228" spans="24:69">
      <c r="X228" s="7"/>
      <c r="Y228" s="60"/>
      <c r="Z228" s="6" t="s">
        <v>33</v>
      </c>
      <c r="AA228" s="94">
        <v>0</v>
      </c>
      <c r="AB228" s="24">
        <v>27282.371914261999</v>
      </c>
      <c r="AC228" s="24">
        <v>27282.371914261999</v>
      </c>
      <c r="AF228" s="7"/>
      <c r="AG228" s="60"/>
      <c r="AH228" s="6" t="s">
        <v>33</v>
      </c>
      <c r="AI228" s="94">
        <v>0</v>
      </c>
      <c r="AJ228" s="24">
        <v>23620.515827128209</v>
      </c>
      <c r="AK228" s="24">
        <v>23620.515827128209</v>
      </c>
      <c r="AN228" s="7"/>
      <c r="AO228" s="60"/>
      <c r="AP228" s="6" t="s">
        <v>33</v>
      </c>
      <c r="AQ228" s="94">
        <v>0</v>
      </c>
      <c r="AR228" s="24">
        <v>25994.45932840724</v>
      </c>
      <c r="AS228" s="24">
        <v>25994.45932840724</v>
      </c>
      <c r="AU228" s="6"/>
      <c r="AV228" s="7"/>
      <c r="AW228" s="60"/>
      <c r="AX228" s="6" t="s">
        <v>33</v>
      </c>
      <c r="AY228" s="95">
        <v>0</v>
      </c>
      <c r="AZ228" s="63">
        <v>25726.018045638073</v>
      </c>
      <c r="BA228" s="63">
        <v>25726.018045638073</v>
      </c>
      <c r="BC228" s="6"/>
      <c r="BD228" s="7"/>
      <c r="BE228" s="60"/>
      <c r="BF228" s="6" t="s">
        <v>33</v>
      </c>
      <c r="BG228" s="95">
        <v>0</v>
      </c>
      <c r="BH228" s="63">
        <v>27282.371914261999</v>
      </c>
      <c r="BI228" s="63">
        <v>27282.371914261999</v>
      </c>
      <c r="BK228" s="6"/>
      <c r="BL228" s="7"/>
      <c r="BM228" s="60"/>
      <c r="BN228" s="6" t="s">
        <v>33</v>
      </c>
      <c r="BO228" s="63">
        <v>0</v>
      </c>
      <c r="BP228" s="63">
        <v>26825.725727596626</v>
      </c>
      <c r="BQ228" s="63">
        <v>26825.725727596626</v>
      </c>
    </row>
    <row r="229" spans="24:69">
      <c r="X229" s="7"/>
      <c r="Y229" s="60"/>
      <c r="Z229" s="6" t="s">
        <v>34</v>
      </c>
      <c r="AA229" s="24">
        <v>0</v>
      </c>
      <c r="AB229" s="24">
        <v>29153.72653850542</v>
      </c>
      <c r="AC229" s="24">
        <v>29153.72653850542</v>
      </c>
      <c r="AF229" s="7"/>
      <c r="AG229" s="60"/>
      <c r="AH229" s="6" t="s">
        <v>34</v>
      </c>
      <c r="AI229" s="24">
        <v>0</v>
      </c>
      <c r="AJ229" s="24">
        <v>32431.407519882858</v>
      </c>
      <c r="AK229" s="24">
        <v>32431.407519882858</v>
      </c>
      <c r="AN229" s="7"/>
      <c r="AO229" s="60"/>
      <c r="AP229" s="6" t="s">
        <v>34</v>
      </c>
      <c r="AQ229" s="24">
        <v>0</v>
      </c>
      <c r="AR229" s="24">
        <v>30325.379398348083</v>
      </c>
      <c r="AS229" s="24">
        <v>30325.379398348083</v>
      </c>
      <c r="AU229" s="6"/>
      <c r="AV229" s="7"/>
      <c r="AW229" s="60"/>
      <c r="AX229" s="6" t="s">
        <v>34</v>
      </c>
      <c r="AY229" s="63">
        <v>0</v>
      </c>
      <c r="AZ229" s="63">
        <v>30023.666676702727</v>
      </c>
      <c r="BA229" s="63">
        <v>30023.666676702727</v>
      </c>
      <c r="BC229" s="6"/>
      <c r="BD229" s="7"/>
      <c r="BE229" s="60"/>
      <c r="BF229" s="6" t="s">
        <v>34</v>
      </c>
      <c r="BG229" s="63">
        <v>0</v>
      </c>
      <c r="BH229" s="63">
        <v>29153.72653850542</v>
      </c>
      <c r="BI229" s="63">
        <v>29153.72653850542</v>
      </c>
      <c r="BK229" s="6"/>
      <c r="BL229" s="7"/>
      <c r="BM229" s="60"/>
      <c r="BN229" s="6" t="s">
        <v>34</v>
      </c>
      <c r="BO229" s="63">
        <v>0</v>
      </c>
      <c r="BP229" s="63">
        <v>30066.085954260809</v>
      </c>
      <c r="BQ229" s="63">
        <v>30066.085954260809</v>
      </c>
    </row>
    <row r="230" spans="24:69">
      <c r="X230" s="7" t="s">
        <v>97</v>
      </c>
      <c r="Y230" s="60" t="s">
        <v>99</v>
      </c>
      <c r="Z230" s="6" t="s">
        <v>50</v>
      </c>
      <c r="AA230" s="24">
        <v>0</v>
      </c>
      <c r="AB230" s="24">
        <v>8198.5636363636386</v>
      </c>
      <c r="AC230" s="24">
        <v>8198.5636363636386</v>
      </c>
      <c r="AF230" s="7" t="s">
        <v>97</v>
      </c>
      <c r="AG230" s="60" t="s">
        <v>99</v>
      </c>
      <c r="AH230" s="6" t="s">
        <v>50</v>
      </c>
      <c r="AI230" s="24">
        <v>0</v>
      </c>
      <c r="AJ230" s="24">
        <v>8895.261622661108</v>
      </c>
      <c r="AK230" s="24">
        <v>8895.261622661108</v>
      </c>
      <c r="AN230" s="7" t="s">
        <v>97</v>
      </c>
      <c r="AO230" s="60" t="s">
        <v>99</v>
      </c>
      <c r="AP230" s="6" t="s">
        <v>50</v>
      </c>
      <c r="AQ230" s="24">
        <v>0</v>
      </c>
      <c r="AR230" s="24">
        <v>9760.2473941367316</v>
      </c>
      <c r="AS230" s="24">
        <v>9760.2473941367316</v>
      </c>
      <c r="AU230" s="6"/>
      <c r="AV230" s="7" t="s">
        <v>97</v>
      </c>
      <c r="AW230" s="60" t="s">
        <v>99</v>
      </c>
      <c r="AX230" s="6" t="s">
        <v>50</v>
      </c>
      <c r="AY230" s="63">
        <v>0</v>
      </c>
      <c r="AZ230" s="63">
        <v>8158.7070400412113</v>
      </c>
      <c r="BA230" s="63">
        <v>8158.7070400412113</v>
      </c>
      <c r="BC230" s="6"/>
      <c r="BD230" s="7" t="s">
        <v>97</v>
      </c>
      <c r="BE230" s="60" t="s">
        <v>99</v>
      </c>
      <c r="BF230" s="6" t="s">
        <v>50</v>
      </c>
      <c r="BG230" s="63">
        <v>0</v>
      </c>
      <c r="BH230" s="63">
        <v>8198.5636363636386</v>
      </c>
      <c r="BI230" s="63">
        <v>8198.5636363636386</v>
      </c>
      <c r="BK230" s="6"/>
      <c r="BL230" s="7" t="s">
        <v>97</v>
      </c>
      <c r="BM230" s="60" t="s">
        <v>99</v>
      </c>
      <c r="BN230" s="6" t="s">
        <v>50</v>
      </c>
      <c r="BO230" s="63">
        <v>0</v>
      </c>
      <c r="BP230" s="63">
        <v>8313.8799438720762</v>
      </c>
      <c r="BQ230" s="63">
        <v>8313.8799438720762</v>
      </c>
    </row>
    <row r="231" spans="24:69">
      <c r="Z231" s="6" t="s">
        <v>33</v>
      </c>
      <c r="AA231" s="24">
        <v>0</v>
      </c>
      <c r="AB231" s="24">
        <v>7780.4048480686652</v>
      </c>
      <c r="AC231" s="24">
        <v>7780.4048480686652</v>
      </c>
      <c r="AH231" s="6" t="s">
        <v>33</v>
      </c>
      <c r="AI231" s="24">
        <v>0</v>
      </c>
      <c r="AJ231" s="24">
        <v>7182.9381500513418</v>
      </c>
      <c r="AK231" s="24">
        <v>7182.9381500513418</v>
      </c>
      <c r="AP231" s="6" t="s">
        <v>33</v>
      </c>
      <c r="AQ231" s="24">
        <v>0</v>
      </c>
      <c r="AR231" s="24">
        <v>5879.3328888604246</v>
      </c>
      <c r="AS231" s="24">
        <v>5879.3328888604246</v>
      </c>
      <c r="AU231" s="6"/>
      <c r="AX231" s="6" t="s">
        <v>33</v>
      </c>
      <c r="AY231" s="63">
        <v>0</v>
      </c>
      <c r="AZ231" s="63">
        <v>7229.266622439256</v>
      </c>
      <c r="BA231" s="63">
        <v>7229.266622439256</v>
      </c>
      <c r="BC231" s="6"/>
      <c r="BF231" s="6" t="s">
        <v>33</v>
      </c>
      <c r="BG231" s="63">
        <v>0</v>
      </c>
      <c r="BH231" s="63">
        <v>7780.4048480686652</v>
      </c>
      <c r="BI231" s="63">
        <v>7780.4048480686652</v>
      </c>
      <c r="BK231" s="6"/>
      <c r="BN231" s="6" t="s">
        <v>33</v>
      </c>
      <c r="BO231" s="63">
        <v>0</v>
      </c>
      <c r="BP231" s="63">
        <v>7666.5923300769027</v>
      </c>
      <c r="BQ231" s="63">
        <v>7666.5923300769027</v>
      </c>
    </row>
    <row r="232" spans="24:69">
      <c r="Z232" s="6" t="s">
        <v>34</v>
      </c>
      <c r="AA232" s="24">
        <v>0</v>
      </c>
      <c r="AB232" s="24">
        <v>8616.722424658612</v>
      </c>
      <c r="AC232" s="24">
        <v>8616.722424658612</v>
      </c>
      <c r="AH232" s="6" t="s">
        <v>34</v>
      </c>
      <c r="AI232" s="24">
        <v>0</v>
      </c>
      <c r="AJ232" s="24">
        <v>10607.585095270875</v>
      </c>
      <c r="AK232" s="24">
        <v>10607.585095270875</v>
      </c>
      <c r="AP232" s="6" t="s">
        <v>34</v>
      </c>
      <c r="AQ232" s="24">
        <v>0</v>
      </c>
      <c r="AR232" s="24">
        <v>13641.161899413039</v>
      </c>
      <c r="AS232" s="24">
        <v>13641.161899413039</v>
      </c>
      <c r="AU232" s="6"/>
      <c r="AX232" s="6" t="s">
        <v>34</v>
      </c>
      <c r="AY232" s="63">
        <v>0</v>
      </c>
      <c r="AZ232" s="63">
        <v>9088.1474576431665</v>
      </c>
      <c r="BA232" s="63">
        <v>9088.1474576431665</v>
      </c>
      <c r="BC232" s="6"/>
      <c r="BF232" s="6" t="s">
        <v>34</v>
      </c>
      <c r="BG232" s="63">
        <v>0</v>
      </c>
      <c r="BH232" s="63">
        <v>8616.722424658612</v>
      </c>
      <c r="BI232" s="63">
        <v>8616.722424658612</v>
      </c>
      <c r="BK232" s="6"/>
      <c r="BN232" s="6" t="s">
        <v>34</v>
      </c>
      <c r="BO232" s="63">
        <v>0</v>
      </c>
      <c r="BP232" s="63">
        <v>8961.1675576672515</v>
      </c>
      <c r="BQ232" s="63">
        <v>8961.1675576672515</v>
      </c>
    </row>
    <row r="233" spans="24:69">
      <c r="X233" s="7" t="s">
        <v>97</v>
      </c>
      <c r="Y233" s="60" t="s">
        <v>100</v>
      </c>
      <c r="Z233" s="6" t="s">
        <v>50</v>
      </c>
      <c r="AA233" s="24">
        <v>0</v>
      </c>
      <c r="AB233" s="24">
        <v>2118.9563636363619</v>
      </c>
      <c r="AC233" s="24">
        <v>2118.9563636363619</v>
      </c>
      <c r="AF233" s="7" t="s">
        <v>97</v>
      </c>
      <c r="AG233" s="60" t="s">
        <v>100</v>
      </c>
      <c r="AH233" s="6" t="s">
        <v>50</v>
      </c>
      <c r="AI233" s="24">
        <v>0</v>
      </c>
      <c r="AJ233" s="24">
        <v>2028.006321462376</v>
      </c>
      <c r="AK233" s="24">
        <v>2028.006321462376</v>
      </c>
      <c r="AN233" s="7" t="s">
        <v>97</v>
      </c>
      <c r="AO233" s="60" t="s">
        <v>100</v>
      </c>
      <c r="AP233" s="6" t="s">
        <v>50</v>
      </c>
      <c r="AQ233" s="24">
        <v>0</v>
      </c>
      <c r="AR233" s="24">
        <v>2309.8690418200003</v>
      </c>
      <c r="AS233" s="24">
        <v>2309.8690418200003</v>
      </c>
      <c r="AU233" s="6"/>
      <c r="AV233" s="7" t="s">
        <v>97</v>
      </c>
      <c r="AW233" s="60" t="s">
        <v>100</v>
      </c>
      <c r="AX233" s="6" t="s">
        <v>50</v>
      </c>
      <c r="AY233" s="63">
        <v>0</v>
      </c>
      <c r="AZ233" s="63">
        <v>2046.6715151515148</v>
      </c>
      <c r="BA233" s="63">
        <v>2046.6715151515148</v>
      </c>
      <c r="BC233" s="6"/>
      <c r="BD233" s="7" t="s">
        <v>97</v>
      </c>
      <c r="BE233" s="60" t="s">
        <v>100</v>
      </c>
      <c r="BF233" s="6" t="s">
        <v>50</v>
      </c>
      <c r="BG233" s="63">
        <v>0</v>
      </c>
      <c r="BH233" s="63">
        <v>2118.9563636363619</v>
      </c>
      <c r="BI233" s="63">
        <v>2118.9563636363619</v>
      </c>
      <c r="BK233" s="6"/>
      <c r="BL233" s="7" t="s">
        <v>97</v>
      </c>
      <c r="BM233" s="60" t="s">
        <v>100</v>
      </c>
      <c r="BN233" s="6" t="s">
        <v>50</v>
      </c>
      <c r="BO233" s="63">
        <v>0</v>
      </c>
      <c r="BP233" s="63">
        <v>2340.3532329101326</v>
      </c>
      <c r="BQ233" s="63">
        <v>2340.3532329101326</v>
      </c>
    </row>
    <row r="234" spans="24:69">
      <c r="Z234" s="6" t="s">
        <v>33</v>
      </c>
      <c r="AA234" s="24">
        <v>0</v>
      </c>
      <c r="AB234" s="24">
        <v>1861.8987661585982</v>
      </c>
      <c r="AC234" s="24">
        <v>1861.8987661585982</v>
      </c>
      <c r="AH234" s="6" t="s">
        <v>33</v>
      </c>
      <c r="AI234" s="24">
        <v>0</v>
      </c>
      <c r="AJ234" s="24">
        <v>1798.3499150647358</v>
      </c>
      <c r="AK234" s="24">
        <v>1798.3499150647358</v>
      </c>
      <c r="AP234" s="6" t="s">
        <v>33</v>
      </c>
      <c r="AQ234" s="24">
        <v>0</v>
      </c>
      <c r="AR234" s="24">
        <v>1903.6406888905872</v>
      </c>
      <c r="AS234" s="24">
        <v>1903.6406888905872</v>
      </c>
      <c r="AU234" s="6"/>
      <c r="AX234" s="6" t="s">
        <v>33</v>
      </c>
      <c r="AY234" s="63">
        <v>0</v>
      </c>
      <c r="AZ234" s="63">
        <v>1709.2210613754228</v>
      </c>
      <c r="BA234" s="63">
        <v>1709.2210613754228</v>
      </c>
      <c r="BC234" s="6"/>
      <c r="BF234" s="6" t="s">
        <v>33</v>
      </c>
      <c r="BG234" s="63">
        <v>0</v>
      </c>
      <c r="BH234" s="63">
        <v>1861.8987661585982</v>
      </c>
      <c r="BI234" s="63">
        <v>1861.8987661585982</v>
      </c>
      <c r="BK234" s="6"/>
      <c r="BN234" s="6" t="s">
        <v>33</v>
      </c>
      <c r="BO234" s="63">
        <v>0</v>
      </c>
      <c r="BP234" s="63">
        <v>1908.4530326431511</v>
      </c>
      <c r="BQ234" s="63">
        <v>1908.4530326431511</v>
      </c>
    </row>
    <row r="235" spans="24:69">
      <c r="Z235" s="6" t="s">
        <v>34</v>
      </c>
      <c r="AA235" s="24">
        <v>0</v>
      </c>
      <c r="AB235" s="24">
        <v>2376.0139611141258</v>
      </c>
      <c r="AC235" s="24">
        <v>2376.0139611141258</v>
      </c>
      <c r="AH235" s="6" t="s">
        <v>34</v>
      </c>
      <c r="AI235" s="24">
        <v>0</v>
      </c>
      <c r="AJ235" s="24">
        <v>2257.6627278600158</v>
      </c>
      <c r="AK235" s="24">
        <v>2257.6627278600158</v>
      </c>
      <c r="AP235" s="6" t="s">
        <v>34</v>
      </c>
      <c r="AQ235" s="24">
        <v>0</v>
      </c>
      <c r="AR235" s="24">
        <v>2716.0973947494126</v>
      </c>
      <c r="AS235" s="24">
        <v>2716.0973947494126</v>
      </c>
      <c r="AU235" s="6"/>
      <c r="AX235" s="6" t="s">
        <v>34</v>
      </c>
      <c r="AY235" s="63">
        <v>0</v>
      </c>
      <c r="AZ235" s="63">
        <v>2384.1219689276068</v>
      </c>
      <c r="BA235" s="63">
        <v>2384.1219689276068</v>
      </c>
      <c r="BC235" s="6"/>
      <c r="BF235" s="6" t="s">
        <v>34</v>
      </c>
      <c r="BG235" s="63">
        <v>0</v>
      </c>
      <c r="BH235" s="63">
        <v>2376.0139611141258</v>
      </c>
      <c r="BI235" s="63">
        <v>2376.0139611141258</v>
      </c>
      <c r="BK235" s="6"/>
      <c r="BN235" s="6" t="s">
        <v>34</v>
      </c>
      <c r="BO235" s="63">
        <v>0</v>
      </c>
      <c r="BP235" s="63">
        <v>2772.2534331771149</v>
      </c>
      <c r="BQ235" s="63">
        <v>2772.2534331771149</v>
      </c>
    </row>
    <row r="236" spans="24:69">
      <c r="X236" s="7" t="s">
        <v>101</v>
      </c>
      <c r="Y236" s="60" t="s">
        <v>102</v>
      </c>
      <c r="Z236" s="6" t="s">
        <v>50</v>
      </c>
      <c r="AA236" s="24">
        <v>0</v>
      </c>
      <c r="AB236" s="24">
        <v>32186.167905758404</v>
      </c>
      <c r="AC236" s="24">
        <v>32186.167905758404</v>
      </c>
      <c r="AF236" s="7" t="s">
        <v>101</v>
      </c>
      <c r="AG236" s="60" t="s">
        <v>102</v>
      </c>
      <c r="AH236" s="6" t="s">
        <v>50</v>
      </c>
      <c r="AI236" s="24">
        <v>0</v>
      </c>
      <c r="AJ236" s="24">
        <v>32082.76093897974</v>
      </c>
      <c r="AK236" s="24">
        <v>32082.76093897974</v>
      </c>
      <c r="AN236" s="7" t="s">
        <v>101</v>
      </c>
      <c r="AO236" s="60" t="s">
        <v>102</v>
      </c>
      <c r="AP236" s="6" t="s">
        <v>50</v>
      </c>
      <c r="AQ236" s="24">
        <v>0</v>
      </c>
      <c r="AR236" s="24">
        <v>32202.595474149704</v>
      </c>
      <c r="AS236" s="24">
        <v>32202.595474149704</v>
      </c>
      <c r="AU236" s="6"/>
      <c r="AV236" s="7" t="s">
        <v>101</v>
      </c>
      <c r="AW236" s="60" t="s">
        <v>102</v>
      </c>
      <c r="AX236" s="6" t="s">
        <v>50</v>
      </c>
      <c r="AY236" s="63">
        <v>0</v>
      </c>
      <c r="AZ236" s="63">
        <v>31640.944349042889</v>
      </c>
      <c r="BA236" s="63">
        <v>31640.944349042889</v>
      </c>
      <c r="BC236" s="6"/>
      <c r="BD236" s="7" t="s">
        <v>101</v>
      </c>
      <c r="BE236" s="60" t="s">
        <v>102</v>
      </c>
      <c r="BF236" s="6" t="s">
        <v>50</v>
      </c>
      <c r="BG236" s="63">
        <v>0</v>
      </c>
      <c r="BH236" s="63">
        <v>32186.167905758404</v>
      </c>
      <c r="BI236" s="63">
        <v>32186.167905758404</v>
      </c>
      <c r="BK236" s="6"/>
      <c r="BL236" s="7" t="s">
        <v>101</v>
      </c>
      <c r="BM236" s="60" t="s">
        <v>102</v>
      </c>
      <c r="BN236" s="6" t="s">
        <v>50</v>
      </c>
      <c r="BO236" s="63">
        <v>0</v>
      </c>
      <c r="BP236" s="63">
        <v>32367.820513270392</v>
      </c>
      <c r="BQ236" s="63">
        <v>32367.820513270392</v>
      </c>
    </row>
    <row r="237" spans="24:69">
      <c r="Z237" s="6" t="s">
        <v>33</v>
      </c>
      <c r="AA237" s="24">
        <v>0</v>
      </c>
      <c r="AB237" s="24">
        <v>30808.967582472098</v>
      </c>
      <c r="AC237" s="24">
        <v>30808.967582472098</v>
      </c>
      <c r="AH237" s="6" t="s">
        <v>33</v>
      </c>
      <c r="AI237" s="24">
        <v>0</v>
      </c>
      <c r="AJ237" s="24">
        <v>29133.158579990359</v>
      </c>
      <c r="AK237" s="24">
        <v>29133.158579990359</v>
      </c>
      <c r="AP237" s="6" t="s">
        <v>33</v>
      </c>
      <c r="AQ237" s="24">
        <v>0</v>
      </c>
      <c r="AR237" s="24">
        <v>29129.904463739051</v>
      </c>
      <c r="AS237" s="24">
        <v>29129.904463739051</v>
      </c>
      <c r="AU237" s="6"/>
      <c r="AX237" s="6" t="s">
        <v>33</v>
      </c>
      <c r="AY237" s="63">
        <v>0</v>
      </c>
      <c r="AZ237" s="63">
        <v>29352.713651420832</v>
      </c>
      <c r="BA237" s="63">
        <v>29352.713651420832</v>
      </c>
      <c r="BC237" s="6"/>
      <c r="BF237" s="6" t="s">
        <v>33</v>
      </c>
      <c r="BG237" s="63">
        <v>0</v>
      </c>
      <c r="BH237" s="63">
        <v>30808.967582472098</v>
      </c>
      <c r="BI237" s="63">
        <v>30808.967582472098</v>
      </c>
      <c r="BK237" s="6"/>
      <c r="BN237" s="6" t="s">
        <v>33</v>
      </c>
      <c r="BO237" s="63">
        <v>0</v>
      </c>
      <c r="BP237" s="63">
        <v>30623.58980731912</v>
      </c>
      <c r="BQ237" s="63">
        <v>30623.58980731912</v>
      </c>
    </row>
    <row r="238" spans="24:69">
      <c r="Z238" s="6" t="s">
        <v>34</v>
      </c>
      <c r="AA238" s="24">
        <v>0</v>
      </c>
      <c r="AB238" s="24">
        <v>33563.36822904471</v>
      </c>
      <c r="AC238" s="24">
        <v>33563.36822904471</v>
      </c>
      <c r="AH238" s="6" t="s">
        <v>34</v>
      </c>
      <c r="AI238" s="24">
        <v>0</v>
      </c>
      <c r="AJ238" s="24">
        <v>35032.363297969117</v>
      </c>
      <c r="AK238" s="24">
        <v>35032.363297969117</v>
      </c>
      <c r="AP238" s="6" t="s">
        <v>34</v>
      </c>
      <c r="AQ238" s="24">
        <v>0</v>
      </c>
      <c r="AR238" s="24">
        <v>35275.286484560362</v>
      </c>
      <c r="AS238" s="24">
        <v>35275.286484560362</v>
      </c>
      <c r="AU238" s="6"/>
      <c r="AX238" s="6" t="s">
        <v>34</v>
      </c>
      <c r="AY238" s="63">
        <v>0</v>
      </c>
      <c r="AZ238" s="63">
        <v>33929.175046664939</v>
      </c>
      <c r="BA238" s="63">
        <v>33929.175046664939</v>
      </c>
      <c r="BC238" s="6"/>
      <c r="BF238" s="6" t="s">
        <v>34</v>
      </c>
      <c r="BG238" s="63">
        <v>0</v>
      </c>
      <c r="BH238" s="63">
        <v>33563.36822904471</v>
      </c>
      <c r="BI238" s="63">
        <v>33563.36822904471</v>
      </c>
      <c r="BK238" s="6"/>
      <c r="BN238" s="6" t="s">
        <v>34</v>
      </c>
      <c r="BO238" s="63">
        <v>0</v>
      </c>
      <c r="BP238" s="63">
        <v>34112.051219221656</v>
      </c>
      <c r="BQ238" s="63">
        <v>34112.051219221656</v>
      </c>
    </row>
    <row r="239" spans="24:69">
      <c r="X239" s="7" t="s">
        <v>101</v>
      </c>
      <c r="Y239" s="60" t="s">
        <v>103</v>
      </c>
      <c r="Z239" s="6" t="s">
        <v>50</v>
      </c>
      <c r="AA239" s="24">
        <v>0</v>
      </c>
      <c r="AB239" s="24">
        <v>4264.5299687993611</v>
      </c>
      <c r="AC239" s="24">
        <v>4264.5299687993611</v>
      </c>
      <c r="AF239" s="7" t="s">
        <v>101</v>
      </c>
      <c r="AG239" s="60" t="s">
        <v>103</v>
      </c>
      <c r="AH239" s="6" t="s">
        <v>50</v>
      </c>
      <c r="AI239" s="24">
        <v>0</v>
      </c>
      <c r="AJ239" s="24">
        <v>4620.7824865728235</v>
      </c>
      <c r="AK239" s="24">
        <v>4620.7824865728235</v>
      </c>
      <c r="AN239" s="7" t="s">
        <v>101</v>
      </c>
      <c r="AO239" s="60" t="s">
        <v>103</v>
      </c>
      <c r="AP239" s="6" t="s">
        <v>50</v>
      </c>
      <c r="AQ239" s="24">
        <v>0</v>
      </c>
      <c r="AR239" s="24">
        <v>4324.3219359068025</v>
      </c>
      <c r="AS239" s="24">
        <v>4324.3219359068025</v>
      </c>
      <c r="AU239" s="6"/>
      <c r="AV239" s="7" t="s">
        <v>101</v>
      </c>
      <c r="AW239" s="60" t="s">
        <v>103</v>
      </c>
      <c r="AX239" s="6" t="s">
        <v>50</v>
      </c>
      <c r="AY239" s="63">
        <v>0</v>
      </c>
      <c r="AZ239" s="63">
        <v>4056.0244667125417</v>
      </c>
      <c r="BA239" s="63">
        <v>4056.0244667125417</v>
      </c>
      <c r="BC239" s="6"/>
      <c r="BD239" s="7" t="s">
        <v>101</v>
      </c>
      <c r="BE239" s="60" t="s">
        <v>103</v>
      </c>
      <c r="BF239" s="6" t="s">
        <v>50</v>
      </c>
      <c r="BG239" s="63">
        <v>0</v>
      </c>
      <c r="BH239" s="63">
        <v>4264.5299687993611</v>
      </c>
      <c r="BI239" s="63">
        <v>4264.5299687993611</v>
      </c>
      <c r="BK239" s="6"/>
      <c r="BL239" s="7" t="s">
        <v>101</v>
      </c>
      <c r="BM239" s="60" t="s">
        <v>103</v>
      </c>
      <c r="BN239" s="6" t="s">
        <v>50</v>
      </c>
      <c r="BO239" s="63">
        <v>0</v>
      </c>
      <c r="BP239" s="63">
        <v>4141.7798977075527</v>
      </c>
      <c r="BQ239" s="63">
        <v>4141.7798977075527</v>
      </c>
    </row>
    <row r="240" spans="24:69">
      <c r="Z240" s="6" t="s">
        <v>33</v>
      </c>
      <c r="AA240" s="24">
        <v>0</v>
      </c>
      <c r="AB240" s="24">
        <v>3958.4703035850002</v>
      </c>
      <c r="AC240" s="24">
        <v>3958.4703035850002</v>
      </c>
      <c r="AH240" s="6" t="s">
        <v>33</v>
      </c>
      <c r="AI240" s="24">
        <v>0</v>
      </c>
      <c r="AJ240" s="24">
        <v>4273.7524716656435</v>
      </c>
      <c r="AK240" s="24">
        <v>4273.7524716656435</v>
      </c>
      <c r="AP240" s="6" t="s">
        <v>33</v>
      </c>
      <c r="AQ240" s="24">
        <v>0</v>
      </c>
      <c r="AR240" s="24">
        <v>3715.3088531576668</v>
      </c>
      <c r="AS240" s="24">
        <v>3715.3088531576668</v>
      </c>
      <c r="AU240" s="6"/>
      <c r="AX240" s="6" t="s">
        <v>33</v>
      </c>
      <c r="AY240" s="63">
        <v>0</v>
      </c>
      <c r="AZ240" s="63">
        <v>3026.8632510637844</v>
      </c>
      <c r="BA240" s="63">
        <v>3026.8632510637844</v>
      </c>
      <c r="BC240" s="6"/>
      <c r="BF240" s="6" t="s">
        <v>33</v>
      </c>
      <c r="BG240" s="63">
        <v>0</v>
      </c>
      <c r="BH240" s="63">
        <v>3958.4703035850002</v>
      </c>
      <c r="BI240" s="63">
        <v>3958.4703035850002</v>
      </c>
      <c r="BK240" s="6"/>
      <c r="BN240" s="6" t="s">
        <v>33</v>
      </c>
      <c r="BO240" s="63">
        <v>0</v>
      </c>
      <c r="BP240" s="63">
        <v>3824.3988305794323</v>
      </c>
      <c r="BQ240" s="63">
        <v>3824.3988305794323</v>
      </c>
    </row>
    <row r="241" spans="23:69">
      <c r="X241" s="10"/>
      <c r="Y241" s="10"/>
      <c r="Z241" s="6" t="s">
        <v>34</v>
      </c>
      <c r="AA241" s="24">
        <v>0</v>
      </c>
      <c r="AB241" s="24">
        <v>4570.5896340137206</v>
      </c>
      <c r="AC241" s="24">
        <v>4570.5896340137206</v>
      </c>
      <c r="AF241" s="10"/>
      <c r="AG241" s="10"/>
      <c r="AH241" s="6" t="s">
        <v>34</v>
      </c>
      <c r="AI241" s="24">
        <v>0</v>
      </c>
      <c r="AJ241" s="24">
        <v>4967.8125014800034</v>
      </c>
      <c r="AK241" s="24">
        <v>4967.8125014800034</v>
      </c>
      <c r="AN241" s="10"/>
      <c r="AO241" s="10"/>
      <c r="AP241" s="6" t="s">
        <v>34</v>
      </c>
      <c r="AQ241" s="24">
        <v>0</v>
      </c>
      <c r="AR241" s="24">
        <v>4933.3350186559392</v>
      </c>
      <c r="AS241" s="24">
        <v>4933.3350186559392</v>
      </c>
      <c r="AU241" s="6"/>
      <c r="AV241" s="41"/>
      <c r="AW241" s="41"/>
      <c r="AX241" s="6" t="s">
        <v>34</v>
      </c>
      <c r="AY241" s="63">
        <v>0</v>
      </c>
      <c r="AZ241" s="63">
        <v>5085.1856823612998</v>
      </c>
      <c r="BA241" s="63">
        <v>5085.1856823612998</v>
      </c>
      <c r="BC241" s="6"/>
      <c r="BD241" s="41"/>
      <c r="BE241" s="41"/>
      <c r="BF241" s="6" t="s">
        <v>34</v>
      </c>
      <c r="BG241" s="63">
        <v>0</v>
      </c>
      <c r="BH241" s="63">
        <v>4570.5896340137206</v>
      </c>
      <c r="BI241" s="63">
        <v>4570.5896340137206</v>
      </c>
      <c r="BK241" s="6"/>
      <c r="BL241" s="41"/>
      <c r="BM241" s="41"/>
      <c r="BN241" s="6" t="s">
        <v>34</v>
      </c>
      <c r="BO241" s="63">
        <v>0</v>
      </c>
      <c r="BP241" s="63">
        <v>4459.1609648356734</v>
      </c>
      <c r="BQ241" s="63">
        <v>4459.1609648356734</v>
      </c>
    </row>
    <row r="242" spans="23:69">
      <c r="X242" s="7" t="s">
        <v>101</v>
      </c>
      <c r="Y242" s="60" t="s">
        <v>104</v>
      </c>
      <c r="Z242" s="6" t="s">
        <v>50</v>
      </c>
      <c r="AA242" s="24">
        <v>0</v>
      </c>
      <c r="AB242" s="24">
        <v>2234.5236363636377</v>
      </c>
      <c r="AC242" s="24">
        <v>2234.5236363636377</v>
      </c>
      <c r="AF242" s="7" t="s">
        <v>101</v>
      </c>
      <c r="AG242" s="60" t="s">
        <v>104</v>
      </c>
      <c r="AH242" s="6" t="s">
        <v>50</v>
      </c>
      <c r="AI242" s="24">
        <v>0</v>
      </c>
      <c r="AJ242" s="24">
        <v>2119.5017802108778</v>
      </c>
      <c r="AK242" s="24">
        <v>2119.5017802108778</v>
      </c>
      <c r="AN242" s="7" t="s">
        <v>101</v>
      </c>
      <c r="AO242" s="60" t="s">
        <v>104</v>
      </c>
      <c r="AP242" s="6" t="s">
        <v>50</v>
      </c>
      <c r="AQ242" s="24">
        <v>0</v>
      </c>
      <c r="AR242" s="24">
        <v>2390.6443547657182</v>
      </c>
      <c r="AS242" s="24">
        <v>2390.6443547657182</v>
      </c>
      <c r="AV242" s="7" t="s">
        <v>101</v>
      </c>
      <c r="AW242" s="60" t="s">
        <v>104</v>
      </c>
      <c r="AX242" s="6" t="s">
        <v>50</v>
      </c>
      <c r="AY242" s="63">
        <v>0</v>
      </c>
      <c r="AZ242" s="63">
        <v>2160.5418181818186</v>
      </c>
      <c r="BA242" s="63">
        <v>2160.5418181818186</v>
      </c>
      <c r="BD242" s="7" t="s">
        <v>101</v>
      </c>
      <c r="BE242" s="60" t="s">
        <v>104</v>
      </c>
      <c r="BF242" s="6" t="s">
        <v>50</v>
      </c>
      <c r="BG242" s="63">
        <v>0</v>
      </c>
      <c r="BH242" s="63">
        <v>2234.5236363636377</v>
      </c>
      <c r="BI242" s="63">
        <v>2234.5236363636377</v>
      </c>
      <c r="BL242" s="7" t="s">
        <v>101</v>
      </c>
      <c r="BM242" s="60" t="s">
        <v>104</v>
      </c>
      <c r="BN242" s="6" t="s">
        <v>50</v>
      </c>
      <c r="BO242" s="63">
        <v>0</v>
      </c>
      <c r="BP242" s="63">
        <v>2533.9390843937263</v>
      </c>
      <c r="BQ242" s="63">
        <v>2533.9390843937263</v>
      </c>
    </row>
    <row r="243" spans="23:69">
      <c r="Z243" s="6" t="s">
        <v>33</v>
      </c>
      <c r="AA243" s="24">
        <v>0</v>
      </c>
      <c r="AB243" s="24">
        <v>2008.8120681938271</v>
      </c>
      <c r="AC243" s="24">
        <v>2008.8120681938271</v>
      </c>
      <c r="AH243" s="6" t="s">
        <v>33</v>
      </c>
      <c r="AI243" s="24">
        <v>0</v>
      </c>
      <c r="AJ243" s="24">
        <v>1916.5210380474716</v>
      </c>
      <c r="AK243" s="24">
        <v>1916.5210380474716</v>
      </c>
      <c r="AP243" s="6" t="s">
        <v>33</v>
      </c>
      <c r="AQ243" s="24">
        <v>0</v>
      </c>
      <c r="AR243" s="24">
        <v>1956.4016389224378</v>
      </c>
      <c r="AS243" s="24">
        <v>1956.4016389224378</v>
      </c>
      <c r="AU243" s="6"/>
      <c r="AV243" s="6"/>
      <c r="AW243" s="6"/>
      <c r="AX243" s="6" t="s">
        <v>33</v>
      </c>
      <c r="AY243" s="63">
        <v>0</v>
      </c>
      <c r="AZ243" s="63">
        <v>1872.318755293011</v>
      </c>
      <c r="BA243" s="63">
        <v>1872.318755293011</v>
      </c>
      <c r="BC243" s="6"/>
      <c r="BD243" s="6"/>
      <c r="BE243" s="6"/>
      <c r="BF243" s="6" t="s">
        <v>33</v>
      </c>
      <c r="BG243" s="63">
        <v>0</v>
      </c>
      <c r="BH243" s="63">
        <v>2008.8120681938271</v>
      </c>
      <c r="BI243" s="63">
        <v>2008.8120681938271</v>
      </c>
      <c r="BK243" s="6"/>
      <c r="BL243" s="6"/>
      <c r="BM243" s="6"/>
      <c r="BN243" s="6" t="s">
        <v>33</v>
      </c>
      <c r="BO243" s="63">
        <v>0</v>
      </c>
      <c r="BP243" s="63">
        <v>2071.6571403793196</v>
      </c>
      <c r="BQ243" s="63">
        <v>2071.6571403793196</v>
      </c>
    </row>
    <row r="244" spans="23:69">
      <c r="Z244" s="6" t="s">
        <v>34</v>
      </c>
      <c r="AA244" s="24">
        <v>0</v>
      </c>
      <c r="AB244" s="24">
        <v>2460.2352045334478</v>
      </c>
      <c r="AC244" s="24">
        <v>2460.2352045334478</v>
      </c>
      <c r="AH244" s="6" t="s">
        <v>34</v>
      </c>
      <c r="AI244" s="24">
        <v>0</v>
      </c>
      <c r="AJ244" s="24">
        <v>2322.4825223742846</v>
      </c>
      <c r="AK244" s="24">
        <v>2322.4825223742846</v>
      </c>
      <c r="AP244" s="6" t="s">
        <v>34</v>
      </c>
      <c r="AQ244" s="24">
        <v>0</v>
      </c>
      <c r="AR244" s="24">
        <v>2824.8870706089983</v>
      </c>
      <c r="AS244" s="24">
        <v>2824.8870706089983</v>
      </c>
      <c r="AU244" s="6"/>
      <c r="AV244" s="6"/>
      <c r="AW244" s="6"/>
      <c r="AX244" s="6" t="s">
        <v>34</v>
      </c>
      <c r="AY244" s="63">
        <v>0</v>
      </c>
      <c r="AZ244" s="63">
        <v>2448.7648810706264</v>
      </c>
      <c r="BA244" s="63">
        <v>2448.7648810706264</v>
      </c>
      <c r="BC244" s="6"/>
      <c r="BD244" s="6"/>
      <c r="BE244" s="6"/>
      <c r="BF244" s="6" t="s">
        <v>34</v>
      </c>
      <c r="BG244" s="63">
        <v>0</v>
      </c>
      <c r="BH244" s="63">
        <v>2460.2352045334478</v>
      </c>
      <c r="BI244" s="63">
        <v>2460.2352045334478</v>
      </c>
      <c r="BK244" s="6"/>
      <c r="BL244" s="6"/>
      <c r="BM244" s="6"/>
      <c r="BN244" s="6" t="s">
        <v>34</v>
      </c>
      <c r="BO244" s="63">
        <v>0</v>
      </c>
      <c r="BP244" s="63">
        <v>2996.221028408133</v>
      </c>
      <c r="BQ244" s="63">
        <v>2996.221028408133</v>
      </c>
    </row>
    <row r="245" spans="23:69">
      <c r="AF245" s="7"/>
      <c r="AG245" s="60"/>
      <c r="AI245" s="24"/>
      <c r="AJ245" s="24"/>
      <c r="AK245" s="24"/>
      <c r="AN245" s="7"/>
      <c r="AO245" s="60"/>
      <c r="AQ245" s="24"/>
      <c r="AR245" s="24"/>
      <c r="AS245" s="24"/>
      <c r="AU245" s="6"/>
      <c r="AV245" s="7"/>
      <c r="AW245" s="60"/>
      <c r="AX245" s="6"/>
      <c r="AY245" s="24"/>
      <c r="AZ245" s="24"/>
      <c r="BA245" s="24"/>
    </row>
    <row r="246" spans="23:69">
      <c r="W246" s="6" t="s">
        <v>159</v>
      </c>
      <c r="AI246" s="24"/>
      <c r="AJ246" s="24"/>
      <c r="AK246" s="24"/>
      <c r="AQ246" s="24"/>
      <c r="AR246" s="24"/>
      <c r="AS246" s="24"/>
      <c r="AU246" s="6"/>
      <c r="AV246" s="6"/>
      <c r="AW246" s="6"/>
      <c r="AX246" s="6"/>
      <c r="AY246" s="24"/>
      <c r="AZ246" s="24"/>
      <c r="BA246" s="24"/>
    </row>
    <row r="247" spans="23:69">
      <c r="AI247" s="24"/>
      <c r="AJ247" s="24"/>
      <c r="AK247" s="24"/>
      <c r="AQ247" s="24"/>
      <c r="AR247" s="24"/>
      <c r="AS247" s="24"/>
      <c r="AU247" s="6"/>
      <c r="AV247" s="6"/>
      <c r="AW247" s="6"/>
      <c r="AX247" s="6"/>
      <c r="AY247" s="24"/>
      <c r="AZ247" s="24"/>
      <c r="BA247" s="24"/>
    </row>
    <row r="248" spans="23:69">
      <c r="AF248" s="7"/>
      <c r="AG248" s="60"/>
      <c r="AI248" s="24"/>
      <c r="AJ248" s="24"/>
      <c r="AK248" s="24"/>
      <c r="AQ248" s="24"/>
      <c r="AR248" s="24"/>
      <c r="AS248" s="24"/>
      <c r="AU248" s="6"/>
      <c r="AV248" s="7"/>
      <c r="AW248" s="60"/>
      <c r="AX248" s="6"/>
      <c r="AY248" s="24"/>
      <c r="AZ248" s="24"/>
      <c r="BA248" s="24"/>
    </row>
    <row r="249" spans="23:69">
      <c r="AI249" s="24"/>
      <c r="AJ249" s="24"/>
      <c r="AK249" s="24"/>
      <c r="AQ249" s="24"/>
      <c r="AR249" s="24"/>
      <c r="AS249" s="24"/>
      <c r="AU249" s="6"/>
      <c r="AV249" s="6"/>
      <c r="AW249" s="6"/>
      <c r="AX249" s="6"/>
      <c r="AY249" s="24"/>
      <c r="AZ249" s="24"/>
      <c r="BA249" s="24"/>
    </row>
    <row r="250" spans="23:69">
      <c r="AI250" s="24"/>
      <c r="AJ250" s="24"/>
      <c r="AK250" s="24"/>
      <c r="AN250" s="7"/>
      <c r="AO250" s="60"/>
      <c r="AQ250" s="24"/>
      <c r="AR250" s="24"/>
      <c r="AS250" s="24"/>
      <c r="AU250" s="6"/>
      <c r="AV250" s="7"/>
      <c r="AW250" s="60"/>
      <c r="AX250" s="6"/>
      <c r="AY250" s="24"/>
      <c r="AZ250" s="24"/>
      <c r="BA250" s="24"/>
    </row>
  </sheetData>
  <mergeCells count="5">
    <mergeCell ref="W62:AE62"/>
    <mergeCell ref="W93:AT93"/>
    <mergeCell ref="B139:M141"/>
    <mergeCell ref="W160:AE160"/>
    <mergeCell ref="W191:AT191"/>
  </mergeCells>
  <dataValidations count="3">
    <dataValidation type="list" allowBlank="1" showInputMessage="1" showErrorMessage="1" sqref="Z4" xr:uid="{111833D4-F41C-4DDC-911D-C5E32C3DBFE9}">
      <formula1>$T$6:$T$10</formula1>
    </dataValidation>
    <dataValidation type="list" allowBlank="1" showInputMessage="1" showErrorMessage="1" sqref="W106:W109 AE101:AE104 AE97:AE99 W97:W99 AM97:AM99 AM106:AM109 AM101:AM104 W101:W104 AE106:AE109 W204:W207 AE199:AE202 AE195:AE197 W195:W197 AM195:AM197 AM204:AM207 AM199:AM202 W199:W202 AE204:AE207" xr:uid="{2E623356-649C-476B-A9B0-9A871A1E7679}">
      <formula1>$W$120:$W$122</formula1>
    </dataValidation>
    <dataValidation type="list" allowBlank="1" showInputMessage="1" showErrorMessage="1" sqref="E4 W4" xr:uid="{91526A34-7BAA-4AEE-9325-AA2D7B716C73}">
      <formula1>$B$91:$B$100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(STARBUCKS) 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</dc:creator>
  <cp:lastModifiedBy>Muhammad Hilmi</cp:lastModifiedBy>
  <dcterms:created xsi:type="dcterms:W3CDTF">2026-05-06T04:04:10Z</dcterms:created>
  <dcterms:modified xsi:type="dcterms:W3CDTF">2026-05-06T04:04:55Z</dcterms:modified>
</cp:coreProperties>
</file>