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17dc49250f45e7e/Desktop/SCTP -APC Data Analytics/PACE-SCTP-DA-02-Analysing and Interpreting Data (M3)/Capstone Project/"/>
    </mc:Choice>
  </mc:AlternateContent>
  <xr:revisionPtr revIDLastSave="0" documentId="8_{D15D5A24-EC34-41A8-92FF-2DDE8269E6D3}" xr6:coauthVersionLast="47" xr6:coauthVersionMax="47" xr10:uidLastSave="{00000000-0000-0000-0000-000000000000}"/>
  <bookViews>
    <workbookView xWindow="-108" yWindow="-108" windowWidth="23256" windowHeight="12456" xr2:uid="{D607F791-4EFB-4EEE-B025-7E79A96031F8}"/>
  </bookViews>
  <sheets>
    <sheet name="Time Series (STARBUCKS)" sheetId="1" r:id="rId1"/>
  </sheets>
  <externalReferences>
    <externalReference r:id="rId2"/>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301" i="1" l="1"/>
  <c r="T301" i="1"/>
  <c r="S301" i="1"/>
  <c r="R301" i="1"/>
  <c r="Q301" i="1"/>
  <c r="U300" i="1"/>
  <c r="T300" i="1"/>
  <c r="S300" i="1"/>
  <c r="R300" i="1"/>
  <c r="Q300" i="1"/>
  <c r="W299" i="1"/>
  <c r="V299" i="1" s="1"/>
  <c r="U299" i="1"/>
  <c r="T299" i="1"/>
  <c r="S299" i="1"/>
  <c r="R299" i="1"/>
  <c r="Q299" i="1"/>
  <c r="U298" i="1"/>
  <c r="T298" i="1"/>
  <c r="S298" i="1"/>
  <c r="R298" i="1"/>
  <c r="Q298" i="1"/>
  <c r="W297" i="1"/>
  <c r="V297" i="1"/>
  <c r="U297" i="1"/>
  <c r="T297" i="1"/>
  <c r="S297" i="1"/>
  <c r="R297" i="1"/>
  <c r="Q297" i="1"/>
  <c r="U296" i="1"/>
  <c r="T296" i="1"/>
  <c r="S296" i="1"/>
  <c r="R296" i="1"/>
  <c r="Q296" i="1"/>
  <c r="U295" i="1"/>
  <c r="T295" i="1"/>
  <c r="S295" i="1"/>
  <c r="R295" i="1"/>
  <c r="Q295" i="1"/>
  <c r="W294" i="1"/>
  <c r="V294" i="1"/>
  <c r="U294" i="1"/>
  <c r="T294" i="1"/>
  <c r="S294" i="1"/>
  <c r="R294" i="1"/>
  <c r="Q294" i="1"/>
  <c r="U293" i="1"/>
  <c r="T293" i="1"/>
  <c r="S293" i="1"/>
  <c r="R293" i="1"/>
  <c r="Q293" i="1"/>
  <c r="W292" i="1"/>
  <c r="V292" i="1" s="1"/>
  <c r="U292" i="1"/>
  <c r="T292" i="1"/>
  <c r="S292" i="1"/>
  <c r="R292" i="1"/>
  <c r="Q292" i="1"/>
  <c r="U291" i="1"/>
  <c r="T291" i="1"/>
  <c r="S291" i="1"/>
  <c r="R291" i="1"/>
  <c r="Q291" i="1"/>
  <c r="W290" i="1"/>
  <c r="V290" i="1"/>
  <c r="U290" i="1"/>
  <c r="T290" i="1"/>
  <c r="S290" i="1"/>
  <c r="R290" i="1"/>
  <c r="Q290" i="1"/>
  <c r="U289" i="1"/>
  <c r="T289" i="1"/>
  <c r="S289" i="1"/>
  <c r="R289" i="1"/>
  <c r="Q289" i="1"/>
  <c r="W288" i="1"/>
  <c r="V288" i="1"/>
  <c r="U288" i="1"/>
  <c r="T288" i="1"/>
  <c r="S288" i="1"/>
  <c r="R288" i="1"/>
  <c r="Q288" i="1"/>
  <c r="W287" i="1"/>
  <c r="V287" i="1" s="1"/>
  <c r="U287" i="1"/>
  <c r="T287" i="1"/>
  <c r="S287" i="1"/>
  <c r="R287" i="1"/>
  <c r="Q287" i="1"/>
  <c r="U286" i="1"/>
  <c r="T286" i="1"/>
  <c r="S286" i="1"/>
  <c r="R286" i="1"/>
  <c r="Q286" i="1"/>
  <c r="U285" i="1"/>
  <c r="T285" i="1"/>
  <c r="S285" i="1"/>
  <c r="R285" i="1"/>
  <c r="Q285" i="1"/>
  <c r="W284" i="1"/>
  <c r="V284" i="1" s="1"/>
  <c r="U284" i="1"/>
  <c r="T284" i="1"/>
  <c r="S284" i="1"/>
  <c r="R284" i="1"/>
  <c r="Q284" i="1"/>
  <c r="W283" i="1"/>
  <c r="V283" i="1"/>
  <c r="U283" i="1"/>
  <c r="T283" i="1"/>
  <c r="S283" i="1"/>
  <c r="R283" i="1"/>
  <c r="Q283" i="1"/>
  <c r="W282" i="1"/>
  <c r="V282" i="1" s="1"/>
  <c r="U282" i="1"/>
  <c r="T282" i="1"/>
  <c r="S282" i="1"/>
  <c r="R282" i="1"/>
  <c r="Q282" i="1"/>
  <c r="W281" i="1"/>
  <c r="V281" i="1"/>
  <c r="U281" i="1"/>
  <c r="T281" i="1"/>
  <c r="S281" i="1"/>
  <c r="R281" i="1"/>
  <c r="Q281" i="1"/>
  <c r="P281" i="1"/>
  <c r="U280" i="1"/>
  <c r="T280" i="1"/>
  <c r="S280" i="1"/>
  <c r="R280" i="1"/>
  <c r="P280" i="1"/>
  <c r="W279" i="1"/>
  <c r="V279" i="1"/>
  <c r="U279" i="1"/>
  <c r="T279" i="1"/>
  <c r="S279" i="1"/>
  <c r="R279" i="1"/>
  <c r="P279" i="1"/>
  <c r="W278" i="1"/>
  <c r="V278" i="1" s="1"/>
  <c r="U278" i="1"/>
  <c r="T278" i="1"/>
  <c r="S278" i="1"/>
  <c r="R278" i="1"/>
  <c r="P278" i="1"/>
  <c r="U277" i="1"/>
  <c r="T277" i="1"/>
  <c r="S277" i="1"/>
  <c r="R277" i="1"/>
  <c r="P277" i="1"/>
  <c r="O277" i="1"/>
  <c r="W276" i="1"/>
  <c r="V276" i="1"/>
  <c r="U276" i="1"/>
  <c r="T276" i="1"/>
  <c r="S276" i="1"/>
  <c r="R276" i="1"/>
  <c r="O276" i="1"/>
  <c r="U275" i="1"/>
  <c r="T275" i="1"/>
  <c r="S275" i="1"/>
  <c r="R275" i="1"/>
  <c r="O275" i="1"/>
  <c r="W274" i="1"/>
  <c r="V274" i="1" s="1"/>
  <c r="U274" i="1"/>
  <c r="T274" i="1"/>
  <c r="S274" i="1"/>
  <c r="R274" i="1"/>
  <c r="O274" i="1"/>
  <c r="U273" i="1"/>
  <c r="T273" i="1"/>
  <c r="S273" i="1"/>
  <c r="R273" i="1"/>
  <c r="O273" i="1"/>
  <c r="W272" i="1"/>
  <c r="V272" i="1"/>
  <c r="U272" i="1"/>
  <c r="T272" i="1"/>
  <c r="S272" i="1"/>
  <c r="R272" i="1"/>
  <c r="O272" i="1"/>
  <c r="U271" i="1"/>
  <c r="T271" i="1"/>
  <c r="S271" i="1"/>
  <c r="R271" i="1"/>
  <c r="O271" i="1"/>
  <c r="W270" i="1"/>
  <c r="V270" i="1"/>
  <c r="U270" i="1"/>
  <c r="T270" i="1"/>
  <c r="S270" i="1"/>
  <c r="R270" i="1"/>
  <c r="O270" i="1"/>
  <c r="V269" i="1"/>
  <c r="AF268" i="1"/>
  <c r="AE268" i="1"/>
  <c r="AD268" i="1"/>
  <c r="AC268" i="1"/>
  <c r="AB268" i="1"/>
  <c r="Y268" i="1"/>
  <c r="N268" i="1"/>
  <c r="W301" i="1" s="1"/>
  <c r="V301" i="1" s="1"/>
  <c r="AD267" i="1"/>
  <c r="AC267" i="1"/>
  <c r="AB267" i="1"/>
  <c r="BD190" i="1"/>
  <c r="BC190" i="1"/>
  <c r="BB190" i="1"/>
  <c r="BD189" i="1"/>
  <c r="BC189" i="1"/>
  <c r="BB189" i="1"/>
  <c r="BD188" i="1"/>
  <c r="BC188" i="1"/>
  <c r="BB188" i="1"/>
  <c r="BD187" i="1"/>
  <c r="BC187" i="1"/>
  <c r="BB187" i="1"/>
  <c r="BD186" i="1"/>
  <c r="BC186" i="1"/>
  <c r="BB186" i="1"/>
  <c r="BD185" i="1"/>
  <c r="BC185" i="1"/>
  <c r="BB185" i="1"/>
  <c r="BD184" i="1"/>
  <c r="BC184" i="1"/>
  <c r="BB184" i="1"/>
  <c r="BD183" i="1"/>
  <c r="BC183" i="1"/>
  <c r="BB183" i="1"/>
  <c r="BD182" i="1"/>
  <c r="BC182" i="1"/>
  <c r="BB182" i="1"/>
  <c r="AC182" i="1"/>
  <c r="AU176" i="1"/>
  <c r="AR176" i="1"/>
  <c r="AQ176" i="1"/>
  <c r="AP176" i="1"/>
  <c r="AO176" i="1"/>
  <c r="AN176" i="1"/>
  <c r="AM176" i="1"/>
  <c r="AL176" i="1"/>
  <c r="AK176" i="1"/>
  <c r="AJ176" i="1"/>
  <c r="AH176" i="1"/>
  <c r="AG176" i="1"/>
  <c r="AF176" i="1"/>
  <c r="AD176" i="1"/>
  <c r="AC176" i="1"/>
  <c r="AB176" i="1"/>
  <c r="Z176" i="1"/>
  <c r="Y176" i="1"/>
  <c r="X176" i="1"/>
  <c r="W176" i="1"/>
  <c r="V176" i="1"/>
  <c r="U176" i="1"/>
  <c r="T176" i="1"/>
  <c r="R176" i="1"/>
  <c r="Q176" i="1"/>
  <c r="P176" i="1"/>
  <c r="J176" i="1"/>
  <c r="I176" i="1"/>
  <c r="H176" i="1"/>
  <c r="G176" i="1"/>
  <c r="F176" i="1"/>
  <c r="E176" i="1"/>
  <c r="D176" i="1"/>
  <c r="C176" i="1"/>
  <c r="AT175" i="1"/>
  <c r="AT176" i="1" s="1"/>
  <c r="AS175" i="1"/>
  <c r="BB156" i="1" s="1"/>
  <c r="AI175" i="1"/>
  <c r="AE175" i="1"/>
  <c r="AA175" i="1"/>
  <c r="W175" i="1"/>
  <c r="S175" i="1"/>
  <c r="AI174" i="1"/>
  <c r="AE174" i="1"/>
  <c r="AA174" i="1"/>
  <c r="W174" i="1"/>
  <c r="S174" i="1"/>
  <c r="AI173" i="1"/>
  <c r="AI176" i="1" s="1"/>
  <c r="AE173" i="1"/>
  <c r="AE176" i="1" s="1"/>
  <c r="AA173" i="1"/>
  <c r="AA176" i="1" s="1"/>
  <c r="W173" i="1"/>
  <c r="S173" i="1"/>
  <c r="S176" i="1" s="1"/>
  <c r="AU170" i="1"/>
  <c r="AT170" i="1"/>
  <c r="AS170" i="1"/>
  <c r="AR170"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J170" i="1"/>
  <c r="AU164" i="1"/>
  <c r="AS164" i="1"/>
  <c r="AR164" i="1"/>
  <c r="AQ164" i="1"/>
  <c r="AP164" i="1"/>
  <c r="AO164" i="1"/>
  <c r="AN164" i="1"/>
  <c r="AM164" i="1"/>
  <c r="AL164" i="1"/>
  <c r="AK164" i="1"/>
  <c r="AJ164" i="1"/>
  <c r="AI164" i="1"/>
  <c r="AH164" i="1"/>
  <c r="AG164" i="1"/>
  <c r="AF164" i="1"/>
  <c r="AD164" i="1"/>
  <c r="AC164" i="1"/>
  <c r="AB164" i="1"/>
  <c r="Z164" i="1"/>
  <c r="Y164" i="1"/>
  <c r="X164" i="1"/>
  <c r="V164" i="1"/>
  <c r="U164" i="1"/>
  <c r="T164" i="1"/>
  <c r="S164" i="1"/>
  <c r="R164" i="1"/>
  <c r="Q164" i="1"/>
  <c r="P164" i="1"/>
  <c r="J164" i="1"/>
  <c r="H164" i="1"/>
  <c r="G164" i="1"/>
  <c r="F164" i="1"/>
  <c r="E164" i="1"/>
  <c r="D164" i="1"/>
  <c r="C164" i="1"/>
  <c r="AT163" i="1"/>
  <c r="AT164" i="1" s="1"/>
  <c r="AI163" i="1"/>
  <c r="AE163" i="1"/>
  <c r="AA163" i="1"/>
  <c r="W163" i="1"/>
  <c r="S163" i="1"/>
  <c r="I163" i="1"/>
  <c r="I164" i="1" s="1"/>
  <c r="AI162" i="1"/>
  <c r="AE162" i="1"/>
  <c r="AA162" i="1"/>
  <c r="W162" i="1"/>
  <c r="S162" i="1"/>
  <c r="AI161" i="1"/>
  <c r="AE161" i="1"/>
  <c r="AA161" i="1"/>
  <c r="W161" i="1"/>
  <c r="S161" i="1"/>
  <c r="AI160" i="1"/>
  <c r="AE160" i="1"/>
  <c r="AE164" i="1" s="1"/>
  <c r="AA160" i="1"/>
  <c r="AA164" i="1" s="1"/>
  <c r="W160" i="1"/>
  <c r="W164" i="1" s="1"/>
  <c r="S160" i="1"/>
  <c r="BD156" i="1"/>
  <c r="BC156" i="1"/>
  <c r="BD155" i="1"/>
  <c r="BC155" i="1"/>
  <c r="BB155" i="1"/>
  <c r="BD154" i="1"/>
  <c r="BC154" i="1"/>
  <c r="BB154" i="1"/>
  <c r="BD153" i="1"/>
  <c r="BC153" i="1"/>
  <c r="BB153" i="1"/>
  <c r="BD152" i="1"/>
  <c r="BC152" i="1"/>
  <c r="BB152" i="1"/>
  <c r="BD151" i="1"/>
  <c r="BC151" i="1"/>
  <c r="BB151" i="1"/>
  <c r="AU151" i="1"/>
  <c r="AT151" i="1"/>
  <c r="AS151" i="1"/>
  <c r="AR151" i="1"/>
  <c r="AQ151" i="1"/>
  <c r="AP151" i="1"/>
  <c r="AO151" i="1"/>
  <c r="AN151" i="1"/>
  <c r="BD150" i="1"/>
  <c r="BB150" i="1"/>
  <c r="AU150" i="1"/>
  <c r="AT150" i="1"/>
  <c r="AS150" i="1"/>
  <c r="AR150" i="1"/>
  <c r="AQ150" i="1"/>
  <c r="AP150" i="1"/>
  <c r="AO150" i="1"/>
  <c r="AN150" i="1"/>
  <c r="AM150" i="1"/>
  <c r="AL150" i="1"/>
  <c r="AK150" i="1"/>
  <c r="AJ150" i="1"/>
  <c r="AI150" i="1"/>
  <c r="AH150" i="1"/>
  <c r="AG150" i="1"/>
  <c r="AF150" i="1"/>
  <c r="AD150" i="1"/>
  <c r="AC150" i="1"/>
  <c r="AB150" i="1"/>
  <c r="Z150" i="1"/>
  <c r="Y150" i="1"/>
  <c r="X150" i="1"/>
  <c r="W150" i="1"/>
  <c r="V150" i="1"/>
  <c r="U150" i="1"/>
  <c r="T150" i="1"/>
  <c r="R150" i="1"/>
  <c r="Q150" i="1"/>
  <c r="P150" i="1"/>
  <c r="BD149" i="1"/>
  <c r="BC149" i="1"/>
  <c r="BB149" i="1"/>
  <c r="AM149" i="1"/>
  <c r="AI149" i="1"/>
  <c r="AE149" i="1"/>
  <c r="AE150" i="1" s="1"/>
  <c r="AA149" i="1"/>
  <c r="AA150" i="1" s="1"/>
  <c r="W149" i="1"/>
  <c r="S149" i="1"/>
  <c r="S150" i="1" s="1"/>
  <c r="BD148" i="1"/>
  <c r="BC148" i="1"/>
  <c r="BB148" i="1"/>
  <c r="AM148" i="1"/>
  <c r="AI148" i="1"/>
  <c r="AE148" i="1"/>
  <c r="AA148" i="1"/>
  <c r="W148" i="1"/>
  <c r="S148" i="1"/>
  <c r="BD147" i="1"/>
  <c r="BC147" i="1"/>
  <c r="BB147" i="1"/>
  <c r="AL147" i="1"/>
  <c r="AL151" i="1" s="1"/>
  <c r="AK147" i="1"/>
  <c r="AK151" i="1" s="1"/>
  <c r="AJ147" i="1"/>
  <c r="AJ151" i="1" s="1"/>
  <c r="AI147" i="1"/>
  <c r="AI151" i="1" s="1"/>
  <c r="AH147" i="1"/>
  <c r="AH151" i="1" s="1"/>
  <c r="AG147" i="1"/>
  <c r="AG151" i="1" s="1"/>
  <c r="AF147" i="1"/>
  <c r="AF151" i="1" s="1"/>
  <c r="AD147" i="1"/>
  <c r="AD151" i="1" s="1"/>
  <c r="AC147" i="1"/>
  <c r="AE147" i="1" s="1"/>
  <c r="AE151" i="1" s="1"/>
  <c r="AB147" i="1"/>
  <c r="AB151" i="1" s="1"/>
  <c r="AA147" i="1"/>
  <c r="Z147" i="1"/>
  <c r="Z151" i="1" s="1"/>
  <c r="Y147" i="1"/>
  <c r="Y151" i="1" s="1"/>
  <c r="X147" i="1"/>
  <c r="X151" i="1" s="1"/>
  <c r="V147" i="1"/>
  <c r="V151" i="1" s="1"/>
  <c r="U147" i="1"/>
  <c r="U151" i="1" s="1"/>
  <c r="T147" i="1"/>
  <c r="W147" i="1" s="1"/>
  <c r="W151" i="1" s="1"/>
  <c r="S147" i="1"/>
  <c r="S151" i="1" s="1"/>
  <c r="R147" i="1"/>
  <c r="R151" i="1" s="1"/>
  <c r="Q147" i="1"/>
  <c r="Q151" i="1" s="1"/>
  <c r="P147" i="1"/>
  <c r="P151" i="1" s="1"/>
  <c r="D147" i="1"/>
  <c r="C147" i="1"/>
  <c r="BD146" i="1"/>
  <c r="BC146" i="1"/>
  <c r="BB146" i="1"/>
  <c r="AM146" i="1"/>
  <c r="AI146" i="1"/>
  <c r="AE146" i="1"/>
  <c r="AA146" i="1"/>
  <c r="AA151" i="1" s="1"/>
  <c r="W146" i="1"/>
  <c r="S146" i="1"/>
  <c r="AU143" i="1"/>
  <c r="AT143" i="1"/>
  <c r="AS143"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J143" i="1"/>
  <c r="I143" i="1"/>
  <c r="H143" i="1"/>
  <c r="G143" i="1"/>
  <c r="F143" i="1"/>
  <c r="E143" i="1"/>
  <c r="D143" i="1"/>
  <c r="C143" i="1"/>
  <c r="J142" i="1"/>
  <c r="J141" i="1"/>
  <c r="AU131" i="1"/>
  <c r="AT131" i="1"/>
  <c r="AS131"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BD128" i="1"/>
  <c r="BC128" i="1"/>
  <c r="BB128" i="1"/>
  <c r="BD127" i="1"/>
  <c r="BC127" i="1"/>
  <c r="BB127" i="1"/>
  <c r="BD126" i="1"/>
  <c r="BC126" i="1"/>
  <c r="BB126"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J120" i="1"/>
  <c r="I120" i="1"/>
  <c r="H120" i="1"/>
  <c r="G120" i="1"/>
  <c r="F120" i="1"/>
  <c r="E120" i="1"/>
  <c r="D120" i="1"/>
  <c r="C120" i="1"/>
  <c r="AT117" i="1"/>
  <c r="AS117" i="1"/>
  <c r="BB92" i="1" s="1"/>
  <c r="AO117" i="1"/>
  <c r="AU113" i="1"/>
  <c r="AT113" i="1"/>
  <c r="AR113" i="1"/>
  <c r="AQ113" i="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J113" i="1"/>
  <c r="I113" i="1"/>
  <c r="H113" i="1"/>
  <c r="G113" i="1"/>
  <c r="F113" i="1"/>
  <c r="E113" i="1"/>
  <c r="D113" i="1"/>
  <c r="C113" i="1"/>
  <c r="AS112" i="1"/>
  <c r="BB91" i="1" s="1"/>
  <c r="AS111" i="1"/>
  <c r="BB90" i="1" s="1"/>
  <c r="AS110" i="1"/>
  <c r="AS113" i="1" s="1"/>
  <c r="AQ107" i="1"/>
  <c r="AU106" i="1"/>
  <c r="AT106" i="1"/>
  <c r="AS106" i="1"/>
  <c r="AR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J106" i="1"/>
  <c r="I106" i="1"/>
  <c r="H106" i="1"/>
  <c r="G106" i="1"/>
  <c r="F106" i="1"/>
  <c r="E106" i="1"/>
  <c r="D106" i="1"/>
  <c r="C106" i="1"/>
  <c r="AS105" i="1"/>
  <c r="BD94" i="1"/>
  <c r="BC94" i="1"/>
  <c r="BB94" i="1"/>
  <c r="BD93" i="1"/>
  <c r="BC93" i="1"/>
  <c r="BB93" i="1"/>
  <c r="BD92" i="1"/>
  <c r="BC92" i="1"/>
  <c r="BD91" i="1"/>
  <c r="BC91" i="1"/>
  <c r="BD90" i="1"/>
  <c r="BC90" i="1"/>
  <c r="BD89" i="1"/>
  <c r="BC89" i="1"/>
  <c r="BB89" i="1"/>
  <c r="BD88" i="1"/>
  <c r="BC88" i="1"/>
  <c r="BB88" i="1"/>
  <c r="AU88" i="1"/>
  <c r="AT88" i="1"/>
  <c r="AS88"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BD87" i="1"/>
  <c r="BC87" i="1"/>
  <c r="BB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BD86" i="1"/>
  <c r="BC86" i="1"/>
  <c r="BB86" i="1"/>
  <c r="BD85" i="1"/>
  <c r="BC85" i="1"/>
  <c r="BB85" i="1"/>
  <c r="BD84" i="1"/>
  <c r="BC84" i="1"/>
  <c r="BB84" i="1"/>
  <c r="BD83" i="1"/>
  <c r="BC83" i="1"/>
  <c r="BB83" i="1"/>
  <c r="AU77" i="1"/>
  <c r="AT77" i="1"/>
  <c r="AS77"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J77" i="1"/>
  <c r="I77" i="1"/>
  <c r="H77" i="1"/>
  <c r="G77" i="1"/>
  <c r="F77" i="1"/>
  <c r="E77" i="1"/>
  <c r="D77" i="1"/>
  <c r="C77" i="1"/>
  <c r="AH75"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J69" i="1"/>
  <c r="I69" i="1"/>
  <c r="H69" i="1"/>
  <c r="G69" i="1"/>
  <c r="F69" i="1"/>
  <c r="E69" i="1"/>
  <c r="D69" i="1"/>
  <c r="C69" i="1"/>
  <c r="AR68" i="1"/>
  <c r="BD54" i="1"/>
  <c r="BC54" i="1"/>
  <c r="BB54" i="1"/>
  <c r="BD53" i="1"/>
  <c r="BC53" i="1"/>
  <c r="BB53" i="1"/>
  <c r="BD52" i="1"/>
  <c r="BC52" i="1"/>
  <c r="BB52" i="1"/>
  <c r="AU52" i="1"/>
  <c r="AT52"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BD51" i="1"/>
  <c r="BC51" i="1"/>
  <c r="BB51" i="1"/>
  <c r="AU51" i="1"/>
  <c r="AT51" i="1"/>
  <c r="AS51"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BD50" i="1"/>
  <c r="BC50" i="1"/>
  <c r="BB50" i="1"/>
  <c r="BD49" i="1"/>
  <c r="BC49" i="1"/>
  <c r="BB49" i="1"/>
  <c r="BD48" i="1"/>
  <c r="BC48" i="1"/>
  <c r="BB48" i="1"/>
  <c r="BD47" i="1"/>
  <c r="BC47" i="1"/>
  <c r="BB47"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K40" i="1"/>
  <c r="J40" i="1"/>
  <c r="I40" i="1"/>
  <c r="H40" i="1"/>
  <c r="G40" i="1"/>
  <c r="F40" i="1"/>
  <c r="E40" i="1"/>
  <c r="D40" i="1"/>
  <c r="C40" i="1"/>
  <c r="AU33" i="1"/>
  <c r="AT33" i="1"/>
  <c r="AS33" i="1"/>
  <c r="AR33" i="1"/>
  <c r="AQ33" i="1"/>
  <c r="AP33" i="1"/>
  <c r="AO33" i="1"/>
  <c r="AN33" i="1"/>
  <c r="AM33" i="1"/>
  <c r="AL33" i="1"/>
  <c r="AK33" i="1"/>
  <c r="AJ33" i="1"/>
  <c r="AI33" i="1"/>
  <c r="AH33" i="1"/>
  <c r="AE33" i="1"/>
  <c r="AD33" i="1"/>
  <c r="AC33" i="1"/>
  <c r="AB33" i="1"/>
  <c r="AA33" i="1"/>
  <c r="Z33" i="1"/>
  <c r="Y33" i="1"/>
  <c r="X33" i="1"/>
  <c r="W33" i="1"/>
  <c r="V33" i="1"/>
  <c r="U33" i="1"/>
  <c r="T33" i="1"/>
  <c r="S33" i="1"/>
  <c r="R33" i="1"/>
  <c r="Q33" i="1"/>
  <c r="P33" i="1"/>
  <c r="K33" i="1"/>
  <c r="J33" i="1"/>
  <c r="I33" i="1"/>
  <c r="H33" i="1"/>
  <c r="G33" i="1"/>
  <c r="F33" i="1"/>
  <c r="E33" i="1"/>
  <c r="D33" i="1"/>
  <c r="C33" i="1"/>
  <c r="AG32" i="1"/>
  <c r="AG33" i="1" s="1"/>
  <c r="AF32" i="1"/>
  <c r="AF33" i="1" s="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K26" i="1"/>
  <c r="J26" i="1"/>
  <c r="I26" i="1"/>
  <c r="H26" i="1"/>
  <c r="G26" i="1"/>
  <c r="F26" i="1"/>
  <c r="E26" i="1"/>
  <c r="D26" i="1"/>
  <c r="C26" i="1"/>
  <c r="BD13" i="1"/>
  <c r="BC13" i="1"/>
  <c r="BB13" i="1"/>
  <c r="BD12" i="1"/>
  <c r="BC12" i="1"/>
  <c r="BB12" i="1"/>
  <c r="BD11" i="1"/>
  <c r="BC11" i="1"/>
  <c r="BB11" i="1"/>
  <c r="BD10" i="1"/>
  <c r="BC10" i="1"/>
  <c r="BB10" i="1"/>
  <c r="BD9" i="1"/>
  <c r="BC9" i="1"/>
  <c r="BB9" i="1"/>
  <c r="AU9" i="1"/>
  <c r="AT9" i="1"/>
  <c r="AS9" i="1"/>
  <c r="AQ9" i="1"/>
  <c r="AP9" i="1"/>
  <c r="AO9" i="1"/>
  <c r="AM9" i="1"/>
  <c r="AL9" i="1"/>
  <c r="AK9" i="1"/>
  <c r="AI9" i="1"/>
  <c r="AH9" i="1"/>
  <c r="AG9" i="1"/>
  <c r="AF9" i="1"/>
  <c r="AE9" i="1"/>
  <c r="AD9" i="1"/>
  <c r="AC9" i="1"/>
  <c r="AB9" i="1"/>
  <c r="AA9" i="1"/>
  <c r="Z9" i="1"/>
  <c r="Y9" i="1"/>
  <c r="X9" i="1"/>
  <c r="W9" i="1"/>
  <c r="V9" i="1"/>
  <c r="U9" i="1"/>
  <c r="T9" i="1"/>
  <c r="S9" i="1"/>
  <c r="R9" i="1"/>
  <c r="Q9" i="1"/>
  <c r="P9" i="1"/>
  <c r="BD8" i="1"/>
  <c r="BC8" i="1"/>
  <c r="BB8" i="1"/>
  <c r="AU8" i="1"/>
  <c r="AT8" i="1"/>
  <c r="AS8" i="1"/>
  <c r="AQ8" i="1"/>
  <c r="AP8" i="1"/>
  <c r="AO8" i="1"/>
  <c r="AM8" i="1"/>
  <c r="AL8" i="1"/>
  <c r="AK8" i="1"/>
  <c r="AI8" i="1"/>
  <c r="AH8" i="1"/>
  <c r="AG8" i="1"/>
  <c r="AF8" i="1"/>
  <c r="AE8" i="1"/>
  <c r="AD8" i="1"/>
  <c r="AC8" i="1"/>
  <c r="AB8" i="1"/>
  <c r="AA8" i="1"/>
  <c r="Z8" i="1"/>
  <c r="Y8" i="1"/>
  <c r="X8" i="1"/>
  <c r="W8" i="1"/>
  <c r="V8" i="1"/>
  <c r="U8" i="1"/>
  <c r="T8" i="1"/>
  <c r="S8" i="1"/>
  <c r="R8" i="1"/>
  <c r="Q8" i="1"/>
  <c r="P8" i="1"/>
  <c r="BD7" i="1"/>
  <c r="BC7" i="1"/>
  <c r="BB7" i="1"/>
  <c r="BD6" i="1"/>
  <c r="BC6" i="1"/>
  <c r="BB6" i="1"/>
  <c r="BD5" i="1"/>
  <c r="BC5" i="1"/>
  <c r="BB5" i="1"/>
  <c r="BD4" i="1"/>
  <c r="BC4" i="1"/>
  <c r="BB4" i="1"/>
  <c r="AM147" i="1" l="1"/>
  <c r="AM151" i="1" s="1"/>
  <c r="AS176" i="1"/>
  <c r="W295" i="1"/>
  <c r="V295" i="1" s="1"/>
  <c r="T151" i="1"/>
  <c r="W277" i="1"/>
  <c r="V277" i="1" s="1"/>
  <c r="W286" i="1"/>
  <c r="V286" i="1" s="1"/>
  <c r="W275" i="1"/>
  <c r="V275" i="1" s="1"/>
  <c r="W293" i="1"/>
  <c r="V293" i="1" s="1"/>
  <c r="W300" i="1"/>
  <c r="V300" i="1" s="1"/>
  <c r="W273" i="1"/>
  <c r="V273" i="1" s="1"/>
  <c r="W291" i="1"/>
  <c r="V291" i="1" s="1"/>
  <c r="W298" i="1"/>
  <c r="V298" i="1" s="1"/>
  <c r="AC151" i="1"/>
  <c r="BC150" i="1"/>
  <c r="W271" i="1"/>
  <c r="V271" i="1" s="1"/>
  <c r="W280" i="1"/>
  <c r="V280" i="1" s="1"/>
  <c r="W289" i="1"/>
  <c r="V289" i="1" s="1"/>
  <c r="W296" i="1"/>
  <c r="V296" i="1" s="1"/>
  <c r="W285" i="1"/>
  <c r="V285" i="1" s="1"/>
</calcChain>
</file>

<file path=xl/sharedStrings.xml><?xml version="1.0" encoding="utf-8"?>
<sst xmlns="http://schemas.openxmlformats.org/spreadsheetml/2006/main" count="2268" uniqueCount="347">
  <si>
    <t>STARBUCKS, MCDONALD'S &amp; RESTAURANT BRANDS</t>
  </si>
  <si>
    <t>Q1</t>
  </si>
  <si>
    <t>Q2</t>
  </si>
  <si>
    <t>Q3</t>
  </si>
  <si>
    <t>Q4</t>
  </si>
  <si>
    <t>For Updating Flat File</t>
  </si>
  <si>
    <t>STARBUCKS CORP</t>
  </si>
  <si>
    <t>2026 (TTM)</t>
  </si>
  <si>
    <t>SEP</t>
  </si>
  <si>
    <t>Apr 01, 2018</t>
  </si>
  <si>
    <t>Jul 01, 2018</t>
  </si>
  <si>
    <t>Sep 30, 2018</t>
  </si>
  <si>
    <t>Dec 30, 2018</t>
  </si>
  <si>
    <t>Mar 31, 2019</t>
  </si>
  <si>
    <t>Jun 30, 2019</t>
  </si>
  <si>
    <t>Sep 29, 2019</t>
  </si>
  <si>
    <t>Dec 29, 2019</t>
  </si>
  <si>
    <t>Mar 29, 2020</t>
  </si>
  <si>
    <t>Jun 28, 2020</t>
  </si>
  <si>
    <t>Sep 27, 2020</t>
  </si>
  <si>
    <t>Dec 27, 2020</t>
  </si>
  <si>
    <t>Mar 28, 2021</t>
  </si>
  <si>
    <t>Jun 27, 2021</t>
  </si>
  <si>
    <t>Oct 03, 2021</t>
  </si>
  <si>
    <t>Jan 02, 2022</t>
  </si>
  <si>
    <t>Apr 03, 2022</t>
  </si>
  <si>
    <t>Jul 03, 2022</t>
  </si>
  <si>
    <t>Oct 02, 2022</t>
  </si>
  <si>
    <t>Jan 01, 2023</t>
  </si>
  <si>
    <t>Apr 02, 2023</t>
  </si>
  <si>
    <t>Jul 02, 2023</t>
  </si>
  <si>
    <t>Oct 01, 2023</t>
  </si>
  <si>
    <t>Dec 31, 2023</t>
  </si>
  <si>
    <t>Mar 31, 2024</t>
  </si>
  <si>
    <t>Jun 30, 2024</t>
  </si>
  <si>
    <t>Sep 29, 2024</t>
  </si>
  <si>
    <t>Dec 29, 2024</t>
  </si>
  <si>
    <t>Mar 30, 2025</t>
  </si>
  <si>
    <t>Jun 29, 2025</t>
  </si>
  <si>
    <t>Sep 28, 2025</t>
  </si>
  <si>
    <t>Dec 28, 2025</t>
  </si>
  <si>
    <t>US MIL</t>
  </si>
  <si>
    <t>Revenue</t>
  </si>
  <si>
    <t>Quarterly</t>
  </si>
  <si>
    <t>Gross Profit</t>
  </si>
  <si>
    <t>Company-Opeerated</t>
  </si>
  <si>
    <t>Operating Income</t>
  </si>
  <si>
    <t>Licensed</t>
  </si>
  <si>
    <t>Net Income</t>
  </si>
  <si>
    <t>Other*</t>
  </si>
  <si>
    <t>Operating CF (Rev-OE)</t>
  </si>
  <si>
    <t>%</t>
  </si>
  <si>
    <t>Net Profit Margin</t>
  </si>
  <si>
    <t>North America</t>
  </si>
  <si>
    <t>Free CF (OCF-Capex)</t>
  </si>
  <si>
    <t>Gross Margin</t>
  </si>
  <si>
    <t>International</t>
  </si>
  <si>
    <t>Revenue Change (YOY)</t>
  </si>
  <si>
    <t>Others**</t>
  </si>
  <si>
    <t>OI Change (YOY)</t>
  </si>
  <si>
    <t>Beverage</t>
  </si>
  <si>
    <t>NI Change (YOY)</t>
  </si>
  <si>
    <t>Food</t>
  </si>
  <si>
    <t>Profitability Ratio</t>
  </si>
  <si>
    <t>Net Profit Margin (%)</t>
  </si>
  <si>
    <t>Other</t>
  </si>
  <si>
    <t>Gross Margin (%)</t>
  </si>
  <si>
    <t>Efficiency Ratio</t>
  </si>
  <si>
    <t>Receivables Turnover</t>
  </si>
  <si>
    <t>Asset Turnover (Sales/Assets)</t>
  </si>
  <si>
    <t>Leverge Ratio</t>
  </si>
  <si>
    <t>Gearing (Debt/Equity)</t>
  </si>
  <si>
    <t>Liquidity Ratio</t>
  </si>
  <si>
    <t>Current Ratio (Assets/Liabilities)</t>
  </si>
  <si>
    <t>No. of Employees (Est.)</t>
  </si>
  <si>
    <t>Net Sales</t>
  </si>
  <si>
    <t>Store Type</t>
  </si>
  <si>
    <t>Oct 02,2022</t>
  </si>
  <si>
    <t>TOTAL</t>
  </si>
  <si>
    <t>* Product Sales and royalty revenue</t>
  </si>
  <si>
    <t>Market</t>
  </si>
  <si>
    <t>** Includes Channel Development, Corporate, etc.</t>
  </si>
  <si>
    <t>LOB</t>
  </si>
  <si>
    <t xml:space="preserve">NB: </t>
  </si>
  <si>
    <t>Beverage represents sales within company-operated stores</t>
  </si>
  <si>
    <t>Food includes sales within company-operated stores</t>
  </si>
  <si>
    <t>* Estimated</t>
  </si>
  <si>
    <t>"Other" consists of packaged and single-serve coffee and teas, royalties and licensing revenues, beverage-related ingredients, RTD beverages, etc.</t>
  </si>
  <si>
    <t>McDONALD'S CORP</t>
  </si>
  <si>
    <t>DEC</t>
  </si>
  <si>
    <t>Dec 31, 2018</t>
  </si>
  <si>
    <t>Sep 30, 2019</t>
  </si>
  <si>
    <t>Dec 31, 2019</t>
  </si>
  <si>
    <t>Mar 31, 2020</t>
  </si>
  <si>
    <t>Jun 30, 2020</t>
  </si>
  <si>
    <t>Sep 30, 2020</t>
  </si>
  <si>
    <t>Dec 31, 2020</t>
  </si>
  <si>
    <t>Mar 31, 2021</t>
  </si>
  <si>
    <t>Jun 30, 2021</t>
  </si>
  <si>
    <t>Sep 30, 2021</t>
  </si>
  <si>
    <t>Dec 31, 2021</t>
  </si>
  <si>
    <t>Mar 31, 2022</t>
  </si>
  <si>
    <t>Jun 30, 2022</t>
  </si>
  <si>
    <t>Sep 30, 2022</t>
  </si>
  <si>
    <t>Dec 31, 2022</t>
  </si>
  <si>
    <t>Mar 31, 2023</t>
  </si>
  <si>
    <t>Jun 30, 2023</t>
  </si>
  <si>
    <t>Sep 30, 2023</t>
  </si>
  <si>
    <t>Sep 30, 2024</t>
  </si>
  <si>
    <t>Dec 31, 2024</t>
  </si>
  <si>
    <t>Mar 31, 2025</t>
  </si>
  <si>
    <t>Jun 30, 2025</t>
  </si>
  <si>
    <t>Dec 31, 2025</t>
  </si>
  <si>
    <t>Company Operated</t>
  </si>
  <si>
    <t>Franchised</t>
  </si>
  <si>
    <t>Others</t>
  </si>
  <si>
    <t>US</t>
  </si>
  <si>
    <t>International (Op)</t>
  </si>
  <si>
    <t>International (Licensed)*</t>
  </si>
  <si>
    <t>Mar 31, 2018</t>
  </si>
  <si>
    <t>Jun 30, 2018</t>
  </si>
  <si>
    <t>Sep 30, 2025</t>
  </si>
  <si>
    <t>Markets</t>
  </si>
  <si>
    <t>* includes Corporate</t>
  </si>
  <si>
    <r>
      <t>RESTAURANT BRANDS INT'L INC</t>
    </r>
    <r>
      <rPr>
        <sz val="10"/>
        <color theme="1"/>
        <rFont val="Arial"/>
        <family val="2"/>
      </rPr>
      <t xml:space="preserve"> (BK, Tim Horton's, Popeye's)</t>
    </r>
  </si>
  <si>
    <t>Tim Horton</t>
  </si>
  <si>
    <t>Burger King</t>
  </si>
  <si>
    <t>Popeye's</t>
  </si>
  <si>
    <t>Firehouse Subs</t>
  </si>
  <si>
    <t>Canada</t>
  </si>
  <si>
    <t>Others (Mkt)</t>
  </si>
  <si>
    <t>Store Sales</t>
  </si>
  <si>
    <t>Franchise</t>
  </si>
  <si>
    <t>Advertising</t>
  </si>
  <si>
    <t>LOB (Revised - From 2023 Q4</t>
  </si>
  <si>
    <t>Beginning with the fourth quarter of 2023, we are reporting results under five operating and reportable segments. This shift in reportable segments reflects how our leadership oversees and manages the business. As a result of this change, our five operating and reportable segments consist of the following:</t>
  </si>
  <si>
    <t>Tim Hortons brand in Canada and the U.S. ("TH");</t>
  </si>
  <si>
    <t>Burger King brand in the U.S. and Canada ("BK");</t>
  </si>
  <si>
    <t>Popeyes Louisiana Kitchen brand in the U.S. and Canada ("PLK");</t>
  </si>
  <si>
    <t>Firehouse Subs brand in the U.S. and Canada ("FHS"); and</t>
  </si>
  <si>
    <t>International*</t>
  </si>
  <si>
    <t>International – which includes all operations of each of our brands outside the U.S. and Canada ("INTL").</t>
  </si>
  <si>
    <t>* Includes Restaurant Holdings (Carrols BK and PLK China)</t>
  </si>
  <si>
    <t>Type</t>
  </si>
  <si>
    <t>Sales</t>
  </si>
  <si>
    <t>Sales*</t>
  </si>
  <si>
    <t>Franchise and Property Revenues*</t>
  </si>
  <si>
    <t>Franchise and Property Revenues**</t>
  </si>
  <si>
    <t>Advertising and Other Services</t>
  </si>
  <si>
    <t>*  Supply chain sales + Company Restaurant sales</t>
  </si>
  <si>
    <t>** Includes Royalties, Advertising and Other Services</t>
  </si>
  <si>
    <t>* Before 2020 Includes Royalties, Advertising and Other Services</t>
  </si>
  <si>
    <t>DELISTED IN JUNE 2020 DUE TO SCANDAL</t>
  </si>
  <si>
    <t>LUCKIN COFFEE INC</t>
  </si>
  <si>
    <t>RMB MIL</t>
  </si>
  <si>
    <t>Partnership</t>
  </si>
  <si>
    <t>2025 (TTM)</t>
  </si>
  <si>
    <t>Partnership Stores</t>
  </si>
  <si>
    <r>
      <t xml:space="preserve">YUM BRANDS INC </t>
    </r>
    <r>
      <rPr>
        <sz val="10"/>
        <color theme="1"/>
        <rFont val="Arial"/>
        <family val="2"/>
      </rPr>
      <t>(KFC, Taco Bell, Pizza Hut)</t>
    </r>
  </si>
  <si>
    <t>KFC</t>
  </si>
  <si>
    <t>Taco Bell</t>
  </si>
  <si>
    <t>Pizza Hut</t>
  </si>
  <si>
    <t>Habit Burger</t>
  </si>
  <si>
    <t>China</t>
  </si>
  <si>
    <t>Habit Burger and Grill</t>
  </si>
  <si>
    <t>THE CHEESECAKE FACTORY</t>
  </si>
  <si>
    <t>Jan 01, 2019</t>
  </si>
  <si>
    <t>Apr 02, 2019</t>
  </si>
  <si>
    <t>Jul 02, 2019</t>
  </si>
  <si>
    <t>Oct 01, 2019</t>
  </si>
  <si>
    <t>Sep 29, 2020</t>
  </si>
  <si>
    <t>Dec 29, 2020</t>
  </si>
  <si>
    <t>Jun 29, 2021</t>
  </si>
  <si>
    <t>Sep 28.2021</t>
  </si>
  <si>
    <t>Mar 29, 2022</t>
  </si>
  <si>
    <t>Jun 28, 2022</t>
  </si>
  <si>
    <t>Sep 27, 2022</t>
  </si>
  <si>
    <t>Apr 04, 2023</t>
  </si>
  <si>
    <t>Jul 04, 2023</t>
  </si>
  <si>
    <t>Oct 03, 2023</t>
  </si>
  <si>
    <t>Jan 02,2024</t>
  </si>
  <si>
    <t>Apr 02, 2024</t>
  </si>
  <si>
    <t>Jul 02, 2024</t>
  </si>
  <si>
    <t>Oct 01, 2024</t>
  </si>
  <si>
    <t>Apr 01, 2025</t>
  </si>
  <si>
    <t>Jul 01, 2025</t>
  </si>
  <si>
    <t>CHEESECAKE</t>
  </si>
  <si>
    <t>DARDEN</t>
  </si>
  <si>
    <r>
      <t xml:space="preserve">DARDEN RESTAURANTS INC </t>
    </r>
    <r>
      <rPr>
        <sz val="10"/>
        <color theme="1"/>
        <rFont val="Arial"/>
        <family val="2"/>
      </rPr>
      <t>(Olive Garden)</t>
    </r>
  </si>
  <si>
    <t>Feb 28, 2018</t>
  </si>
  <si>
    <t>May 31, 2018</t>
  </si>
  <si>
    <t>Aug 31, 2018</t>
  </si>
  <si>
    <t>Nov 30, 2018</t>
  </si>
  <si>
    <t>Feb 23, 2019</t>
  </si>
  <si>
    <t>May 26, 2019</t>
  </si>
  <si>
    <t>Aug 25, 2019</t>
  </si>
  <si>
    <t>Nov 24, 2019</t>
  </si>
  <si>
    <t>Feb 23, 2020</t>
  </si>
  <si>
    <t>May 31, 2020</t>
  </si>
  <si>
    <t>Aug 30, 2020</t>
  </si>
  <si>
    <t>Nov 29, 2020</t>
  </si>
  <si>
    <t>Feb 28, 2021</t>
  </si>
  <si>
    <t>May 30, 2021</t>
  </si>
  <si>
    <t>Aug 29, 2021</t>
  </si>
  <si>
    <t>Nov 28, 2021</t>
  </si>
  <si>
    <t>Feb 27, 2022</t>
  </si>
  <si>
    <t>May 31, 2022</t>
  </si>
  <si>
    <t>Aug 28, 2022</t>
  </si>
  <si>
    <t>Nov 27, 2022</t>
  </si>
  <si>
    <t>Feb 26, 2023</t>
  </si>
  <si>
    <t>May 31, 2023</t>
  </si>
  <si>
    <t>Aug 27, 2023</t>
  </si>
  <si>
    <t>Nov 26, 2023</t>
  </si>
  <si>
    <t>Feb 25, 2024</t>
  </si>
  <si>
    <t>May 28, 2024</t>
  </si>
  <si>
    <t>Aug 25, 2024</t>
  </si>
  <si>
    <t>Nov 24, 2024</t>
  </si>
  <si>
    <t>Feb 23, 2025</t>
  </si>
  <si>
    <t>May 25, 2025</t>
  </si>
  <si>
    <t>Aug 24, 2025</t>
  </si>
  <si>
    <t>Nov 23, 2025</t>
  </si>
  <si>
    <t>CHIPOTLE</t>
  </si>
  <si>
    <t>DOUTER (JPY)</t>
  </si>
  <si>
    <t>COCA COLA</t>
  </si>
  <si>
    <t>CHIPOTLE MEXICAN GRILL INC</t>
  </si>
  <si>
    <t>PEPSICO</t>
  </si>
  <si>
    <t>MONSTER</t>
  </si>
  <si>
    <t>DUTCH BROS</t>
  </si>
  <si>
    <t>DOUTOR NICHIRES HOLDINGS CO LTD</t>
  </si>
  <si>
    <t>Feb 28, 2019</t>
  </si>
  <si>
    <t>May 31, 2019</t>
  </si>
  <si>
    <t>Aug 31, 2019</t>
  </si>
  <si>
    <t>Nov 30, 2019</t>
  </si>
  <si>
    <t>Feb 29, 2020</t>
  </si>
  <si>
    <t>Aug 31, 2020</t>
  </si>
  <si>
    <t>Nov 30, 2020</t>
  </si>
  <si>
    <t>May 31, 2021</t>
  </si>
  <si>
    <t>Aug 31, 2021</t>
  </si>
  <si>
    <t>Nov 30, 2021</t>
  </si>
  <si>
    <t>Feb 28, 2022</t>
  </si>
  <si>
    <t>Aug 31, 2022</t>
  </si>
  <si>
    <t>Nov 30, 2022</t>
  </si>
  <si>
    <t>Feb 28, 2023</t>
  </si>
  <si>
    <t>Aug 30, 2023</t>
  </si>
  <si>
    <t>Nov 30, 2023</t>
  </si>
  <si>
    <t>Feb 29, 2024</t>
  </si>
  <si>
    <t>May 31, 2024</t>
  </si>
  <si>
    <t>Aug 31, 2024</t>
  </si>
  <si>
    <t>Nov 30, 2024</t>
  </si>
  <si>
    <t>Feb 28, 2025</t>
  </si>
  <si>
    <t>Aug 31, 2025</t>
  </si>
  <si>
    <t>JDE PEET'S (EUR)</t>
  </si>
  <si>
    <t>JPY MIL</t>
  </si>
  <si>
    <r>
      <t xml:space="preserve">COCA COLA CO </t>
    </r>
    <r>
      <rPr>
        <sz val="10"/>
        <color theme="1"/>
        <rFont val="Arial"/>
        <family val="2"/>
      </rPr>
      <t>(Coke, Dasani, Costa Coffee)</t>
    </r>
  </si>
  <si>
    <t>Mar 29, 2019</t>
  </si>
  <si>
    <t>Jun 28, 2019</t>
  </si>
  <si>
    <t>Sep 27, 2019</t>
  </si>
  <si>
    <t>Mar 27, 2020</t>
  </si>
  <si>
    <t>Jun 26, 2020</t>
  </si>
  <si>
    <t>Sep 25, 2020</t>
  </si>
  <si>
    <t>Apr 02, 2021</t>
  </si>
  <si>
    <t>Jul 02, 2021</t>
  </si>
  <si>
    <t>Oct 01, 2001</t>
  </si>
  <si>
    <t>Apr 01, 2022</t>
  </si>
  <si>
    <t>Jul 01,2022</t>
  </si>
  <si>
    <t>Jun 28, 2024</t>
  </si>
  <si>
    <t>Sep 27, 2024</t>
  </si>
  <si>
    <t>Mar 28, 2025</t>
  </si>
  <si>
    <t>Jun 27, 2025</t>
  </si>
  <si>
    <t>Sep 26, 2025</t>
  </si>
  <si>
    <r>
      <t xml:space="preserve">PEPSICO INC </t>
    </r>
    <r>
      <rPr>
        <sz val="10"/>
        <color theme="1"/>
        <rFont val="Arial"/>
        <family val="2"/>
      </rPr>
      <t>(Pepsi, Aquafina, Mirinda)</t>
    </r>
  </si>
  <si>
    <t>Mar 23, 2019</t>
  </si>
  <si>
    <t>Jun 15, 2019</t>
  </si>
  <si>
    <t>Sep 07, 2019</t>
  </si>
  <si>
    <t>Dec 28, 2019</t>
  </si>
  <si>
    <t>Mar 21, 2020</t>
  </si>
  <si>
    <t>Jun 13, 2020</t>
  </si>
  <si>
    <t>Sep 05, 2020</t>
  </si>
  <si>
    <t>Mar 20, 2021</t>
  </si>
  <si>
    <t>Jun 12, 2021</t>
  </si>
  <si>
    <t>Sep 04, 2021</t>
  </si>
  <si>
    <t>Dec 25, 2021</t>
  </si>
  <si>
    <t>Mar 19, 2022</t>
  </si>
  <si>
    <t>Jun 22, 2022</t>
  </si>
  <si>
    <t>Sep 3, 2022</t>
  </si>
  <si>
    <t>Dec 31 2022</t>
  </si>
  <si>
    <t>Mar 25, 2023</t>
  </si>
  <si>
    <t>Jun 17,2023</t>
  </si>
  <si>
    <t>Sep 16, 2023</t>
  </si>
  <si>
    <t>Dec 31 2023</t>
  </si>
  <si>
    <t>Mar 23, 2024</t>
  </si>
  <si>
    <t>Jun 15,2024</t>
  </si>
  <si>
    <t>Sep 07, 2024</t>
  </si>
  <si>
    <t>Dec 28, 2024</t>
  </si>
  <si>
    <t>Mar 22, 2025</t>
  </si>
  <si>
    <t>Jun 14, 2025</t>
  </si>
  <si>
    <t>Sep 06, 2025</t>
  </si>
  <si>
    <t>Dec 27, 2025</t>
  </si>
  <si>
    <t>MONSTER BEVERAGE CORP</t>
  </si>
  <si>
    <r>
      <t xml:space="preserve">DUTCH BROS. INC </t>
    </r>
    <r>
      <rPr>
        <sz val="10"/>
        <color theme="1"/>
        <rFont val="Arial"/>
        <family val="2"/>
      </rPr>
      <t>(Drive-Through Coffee Chain)</t>
    </r>
  </si>
  <si>
    <r>
      <t xml:space="preserve">JDE PEET'S NV </t>
    </r>
    <r>
      <rPr>
        <sz val="10"/>
        <color theme="1"/>
        <rFont val="Arial"/>
        <family val="2"/>
      </rPr>
      <t>(L'OR, Senseo, Tassimo, Old Town)</t>
    </r>
  </si>
  <si>
    <t>EUR MIL</t>
  </si>
  <si>
    <t>Adjusted</t>
  </si>
  <si>
    <t>EUR - USD</t>
  </si>
  <si>
    <t>JPY - USD</t>
  </si>
  <si>
    <t>KRW - USD</t>
  </si>
  <si>
    <t>RMB - USD</t>
  </si>
  <si>
    <t>GBP - USD</t>
  </si>
  <si>
    <t>BRL - USD</t>
  </si>
  <si>
    <t>TIME SERIES</t>
  </si>
  <si>
    <t>STARBUCKS</t>
  </si>
  <si>
    <t>FLAT FILE DATABASE</t>
  </si>
  <si>
    <t>McDONALDS</t>
  </si>
  <si>
    <t>REST BRANDS</t>
  </si>
  <si>
    <t>LUCKIN</t>
  </si>
  <si>
    <t>YUM BRANDS</t>
  </si>
  <si>
    <t>OTHERS</t>
  </si>
  <si>
    <t>CATEGORY</t>
  </si>
  <si>
    <t>LIST</t>
  </si>
  <si>
    <t>YEAR</t>
  </si>
  <si>
    <t>QUARTER</t>
  </si>
  <si>
    <t>Royalty</t>
  </si>
  <si>
    <t>Channel Devt</t>
  </si>
  <si>
    <t>Other (LOB)</t>
  </si>
  <si>
    <t>Intl (Op)</t>
  </si>
  <si>
    <t>Intl (Licensed)</t>
  </si>
  <si>
    <t>-</t>
  </si>
  <si>
    <t>DOUTOR (JPY)</t>
  </si>
  <si>
    <t>JDE PEETS (EUR)</t>
  </si>
  <si>
    <t>EXCH</t>
  </si>
  <si>
    <t>Default</t>
  </si>
  <si>
    <t>Company</t>
  </si>
  <si>
    <t>2018</t>
  </si>
  <si>
    <t>2019</t>
  </si>
  <si>
    <t>2020</t>
  </si>
  <si>
    <t>2021</t>
  </si>
  <si>
    <t>2022</t>
  </si>
  <si>
    <t>2023</t>
  </si>
  <si>
    <t>Select Exch R to convert to USD</t>
  </si>
  <si>
    <t>Flat File Row</t>
  </si>
  <si>
    <t>Pre-Pandemic</t>
  </si>
  <si>
    <t>Pandemic</t>
  </si>
  <si>
    <t>Post-Pandemic</t>
  </si>
  <si>
    <t>LUCKIN (US$)</t>
  </si>
  <si>
    <t>EXCH R</t>
  </si>
  <si>
    <t>Note:</t>
  </si>
  <si>
    <t>Luckin Restaurant Brands, YUM Brands and Others plotted on Secondary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</si>
</sst>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_(* #,##0.00_);_(* \(#,##0.00\);_(* &quot;-&quot;??_);_(@_)"/>
    <numFmt numFmtId="166" formatCode="_(* #,##0_);_(* \(#,##0\);_(* &quot;-&quot;??_);_(@_)"/>
    <numFmt numFmtId="167" formatCode="#,##0.0_);\(#,##0.0\)"/>
    <numFmt numFmtId="168" formatCode="_(* #,##0.000_);_(* \(#,##0.000\);_(* &quot;-&quot;??_);_(@_)"/>
    <numFmt numFmtId="169" formatCode="_(* #,##0.00000_);_(* \(#,##0.00000\);_(* &quot;-&quot;??_);_(@_)"/>
    <numFmt numFmtId="170" formatCode="_(* #,##0.0000_);_(* \(#,##0.0000\);_(* &quot;-&quot;??_);_(@_)"/>
  </numFmts>
  <fonts count="27" x14ac:knownFonts="1">
    <font>
      <sz val="12"/>
      <color theme="1"/>
      <name val="Calibri"/>
      <family val="2"/>
      <scheme val="minor"/>
    </font>
    <font>
      <sz val="11"/>
      <color theme="1"/>
      <name val="Calibri"/>
      <family val="2"/>
      <scheme val="minor"/>
    </font>
    <font>
      <sz val="12"/>
      <color theme="1"/>
      <name val="Calibri"/>
      <family val="2"/>
      <scheme val="minor"/>
    </font>
    <font>
      <b/>
      <sz val="10"/>
      <color rgb="FFC00000"/>
      <name val="Arial"/>
      <family val="2"/>
    </font>
    <font>
      <sz val="10"/>
      <color theme="1"/>
      <name val="Arial"/>
      <family val="2"/>
    </font>
    <font>
      <sz val="10"/>
      <color theme="8"/>
      <name val="Arial"/>
      <family val="2"/>
    </font>
    <font>
      <b/>
      <sz val="10"/>
      <color theme="1"/>
      <name val="Arial"/>
      <family val="2"/>
    </font>
    <font>
      <b/>
      <sz val="10"/>
      <color rgb="FF0070C0"/>
      <name val="Arial"/>
      <family val="2"/>
    </font>
    <font>
      <b/>
      <sz val="10"/>
      <color theme="9" tint="-0.249977111117893"/>
      <name val="Arial"/>
      <family val="2"/>
    </font>
    <font>
      <b/>
      <sz val="10"/>
      <color theme="5" tint="-0.249977111117893"/>
      <name val="Arial"/>
      <family val="2"/>
    </font>
    <font>
      <b/>
      <sz val="10"/>
      <color rgb="FF7030A0"/>
      <name val="Arial"/>
      <family val="2"/>
    </font>
    <font>
      <b/>
      <sz val="10"/>
      <color theme="7" tint="-0.249977111117893"/>
      <name val="Arial"/>
      <family val="2"/>
    </font>
    <font>
      <b/>
      <sz val="10"/>
      <color theme="4"/>
      <name val="Arial"/>
      <family val="2"/>
    </font>
    <font>
      <b/>
      <sz val="10"/>
      <color rgb="FF000000"/>
      <name val="Arial"/>
      <family val="2"/>
    </font>
    <font>
      <b/>
      <sz val="10"/>
      <color rgb="FF333333"/>
      <name val="Arial"/>
      <family val="2"/>
    </font>
    <font>
      <sz val="10"/>
      <color rgb="FF000000"/>
      <name val="Arial"/>
      <family val="2"/>
    </font>
    <font>
      <sz val="10"/>
      <color theme="1"/>
      <name val="Helvetica"/>
      <family val="2"/>
    </font>
    <font>
      <b/>
      <sz val="10"/>
      <color theme="8" tint="-0.249977111117893"/>
      <name val="Arial"/>
      <family val="2"/>
    </font>
    <font>
      <sz val="11"/>
      <color rgb="FF333333"/>
      <name val="Calibri"/>
      <family val="2"/>
      <scheme val="minor"/>
    </font>
    <font>
      <sz val="10"/>
      <color theme="1"/>
      <name val="Calibri"/>
      <family val="2"/>
      <scheme val="minor"/>
    </font>
    <font>
      <sz val="10"/>
      <color rgb="FF7030A0"/>
      <name val="Arial"/>
      <family val="2"/>
    </font>
    <font>
      <sz val="10"/>
      <color theme="9" tint="-0.249977111117893"/>
      <name val="Arial"/>
      <family val="2"/>
    </font>
    <font>
      <sz val="10"/>
      <color theme="5" tint="-0.249977111117893"/>
      <name val="Arial"/>
      <family val="2"/>
    </font>
    <font>
      <sz val="10"/>
      <color rgb="FF333333"/>
      <name val="Arial"/>
      <family val="2"/>
    </font>
    <font>
      <i/>
      <sz val="12"/>
      <color theme="1"/>
      <name val="Calibri"/>
      <family val="2"/>
      <scheme val="minor"/>
    </font>
    <font>
      <sz val="10"/>
      <name val="Arial"/>
      <family val="2"/>
    </font>
    <font>
      <b/>
      <sz val="10"/>
      <name val="Arial"/>
      <family val="2"/>
    </font>
  </fonts>
  <fills count="15">
    <fill>
      <patternFill patternType="none"/>
    </fill>
    <fill>
      <patternFill patternType="gray125"/>
    </fill>
    <fill>
      <patternFill patternType="solid">
        <fgColor theme="7"/>
        <bgColor indexed="64"/>
      </patternFill>
    </fill>
    <fill>
      <patternFill patternType="solid">
        <fgColor rgb="FFE1E9FF"/>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C00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E9D4FF"/>
        <bgColor indexed="64"/>
      </patternFill>
    </fill>
  </fills>
  <borders count="2">
    <border>
      <left/>
      <right/>
      <top/>
      <bottom/>
      <diagonal/>
    </border>
    <border>
      <left/>
      <right/>
      <top style="thin">
        <color indexed="64"/>
      </top>
      <bottom style="double">
        <color indexed="64"/>
      </bottom>
      <diagonal/>
    </border>
  </borders>
  <cellStyleXfs count="3">
    <xf numFmtId="0" fontId="0" fillId="0" borderId="0"/>
    <xf numFmtId="165" fontId="2" fillId="0" borderId="0" applyFont="0" applyFill="0" applyBorder="0" applyAlignment="0" applyProtection="0"/>
    <xf numFmtId="9" fontId="2" fillId="0" borderId="0" applyFont="0" applyFill="0" applyBorder="0" applyAlignment="0" applyProtection="0"/>
  </cellStyleXfs>
  <cellXfs count="153">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0" fillId="0" borderId="0" xfId="0" applyAlignment="1">
      <alignment vertical="center"/>
    </xf>
    <xf numFmtId="0" fontId="4" fillId="2" borderId="0" xfId="0" applyFont="1" applyFill="1" applyAlignment="1">
      <alignment vertical="center"/>
    </xf>
    <xf numFmtId="0" fontId="4" fillId="0" borderId="0" xfId="0" applyFont="1"/>
    <xf numFmtId="0" fontId="4" fillId="0" borderId="0" xfId="0" applyFont="1" applyAlignment="1">
      <alignment horizontal="left"/>
    </xf>
    <xf numFmtId="0" fontId="6"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horizontal="right" vertical="center"/>
    </xf>
    <xf numFmtId="0" fontId="9" fillId="0" borderId="0" xfId="0" applyFont="1" applyAlignment="1">
      <alignment horizontal="right" vertical="center"/>
    </xf>
    <xf numFmtId="0" fontId="10" fillId="0" borderId="0" xfId="0" applyFont="1" applyAlignment="1">
      <alignment horizontal="right" vertical="center"/>
    </xf>
    <xf numFmtId="0" fontId="11"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vertical="center"/>
    </xf>
    <xf numFmtId="0" fontId="11" fillId="0" borderId="0" xfId="0" applyFont="1" applyAlignment="1">
      <alignment vertical="center"/>
    </xf>
    <xf numFmtId="0" fontId="6" fillId="0" borderId="0" xfId="0" applyFont="1" applyAlignment="1">
      <alignment horizontal="right" vertical="center"/>
    </xf>
    <xf numFmtId="0" fontId="3" fillId="0" borderId="0" xfId="0" applyFont="1" applyAlignment="1">
      <alignment horizontal="right" vertical="center"/>
    </xf>
    <xf numFmtId="0" fontId="13" fillId="0" borderId="0" xfId="0" applyFont="1" applyAlignment="1">
      <alignment horizontal="right" vertical="center"/>
    </xf>
    <xf numFmtId="0" fontId="14" fillId="0" borderId="0" xfId="0" applyFont="1" applyAlignment="1">
      <alignment vertical="center"/>
    </xf>
    <xf numFmtId="164" fontId="4" fillId="0" borderId="0" xfId="2" applyNumberFormat="1" applyFont="1" applyAlignment="1">
      <alignment vertical="center"/>
    </xf>
    <xf numFmtId="165" fontId="4" fillId="0" borderId="0" xfId="0" applyNumberFormat="1" applyFont="1" applyAlignment="1">
      <alignment vertical="center"/>
    </xf>
    <xf numFmtId="10" fontId="4" fillId="0" borderId="0" xfId="0" applyNumberFormat="1" applyFont="1" applyAlignment="1">
      <alignment vertical="center"/>
    </xf>
    <xf numFmtId="0" fontId="4" fillId="0" borderId="0" xfId="0" applyFont="1" applyAlignment="1">
      <alignment horizontal="right" vertical="center"/>
    </xf>
    <xf numFmtId="37" fontId="4" fillId="0" borderId="0" xfId="1" applyNumberFormat="1" applyFont="1" applyAlignment="1">
      <alignment vertical="center"/>
    </xf>
    <xf numFmtId="166" fontId="4" fillId="0" borderId="0" xfId="1" applyNumberFormat="1" applyFont="1" applyFill="1" applyAlignment="1">
      <alignment vertical="center"/>
    </xf>
    <xf numFmtId="37" fontId="15" fillId="0" borderId="0" xfId="1" applyNumberFormat="1" applyFont="1" applyFill="1" applyAlignment="1">
      <alignment vertical="center"/>
    </xf>
    <xf numFmtId="37" fontId="4" fillId="3" borderId="0" xfId="0" applyNumberFormat="1" applyFont="1" applyFill="1" applyAlignment="1">
      <alignment vertical="center"/>
    </xf>
    <xf numFmtId="166" fontId="4" fillId="0" borderId="0" xfId="1" applyNumberFormat="1" applyFont="1" applyAlignment="1">
      <alignment vertical="center"/>
    </xf>
    <xf numFmtId="37" fontId="4" fillId="0" borderId="0" xfId="0" applyNumberFormat="1" applyFont="1" applyAlignment="1">
      <alignment horizontal="right" vertical="center"/>
    </xf>
    <xf numFmtId="37" fontId="15" fillId="0" borderId="0" xfId="0" applyNumberFormat="1" applyFont="1" applyAlignment="1">
      <alignment horizontal="right" vertical="center"/>
    </xf>
    <xf numFmtId="0" fontId="4" fillId="0" borderId="0" xfId="0" applyFont="1" applyAlignment="1">
      <alignment horizontal="left" vertical="center"/>
    </xf>
    <xf numFmtId="166" fontId="4" fillId="0" borderId="0" xfId="1" applyNumberFormat="1" applyFont="1" applyBorder="1" applyAlignment="1">
      <alignment vertical="center"/>
    </xf>
    <xf numFmtId="166" fontId="4" fillId="0" borderId="0" xfId="0" applyNumberFormat="1" applyFont="1" applyAlignment="1">
      <alignment vertical="center"/>
    </xf>
    <xf numFmtId="37" fontId="4" fillId="0" borderId="0" xfId="0" applyNumberFormat="1" applyFont="1" applyAlignment="1">
      <alignment vertical="center"/>
    </xf>
    <xf numFmtId="37" fontId="15" fillId="0" borderId="0" xfId="0" applyNumberFormat="1" applyFont="1" applyAlignment="1">
      <alignment vertical="center"/>
    </xf>
    <xf numFmtId="37" fontId="15" fillId="3" borderId="0" xfId="1" applyNumberFormat="1" applyFont="1" applyFill="1" applyAlignment="1">
      <alignment vertical="center"/>
    </xf>
    <xf numFmtId="0" fontId="16" fillId="0" borderId="0" xfId="0" applyFont="1" applyAlignment="1">
      <alignment vertical="center"/>
    </xf>
    <xf numFmtId="166" fontId="15" fillId="0" borderId="0" xfId="1" applyNumberFormat="1" applyFont="1" applyFill="1" applyAlignment="1">
      <alignment vertical="center"/>
    </xf>
    <xf numFmtId="10" fontId="4" fillId="0" borderId="0" xfId="2" applyNumberFormat="1" applyFont="1" applyAlignment="1">
      <alignment vertical="center"/>
    </xf>
    <xf numFmtId="10" fontId="15" fillId="0" borderId="0" xfId="0" applyNumberFormat="1" applyFont="1" applyAlignment="1">
      <alignment vertical="center"/>
    </xf>
    <xf numFmtId="10" fontId="4" fillId="0" borderId="0" xfId="2" applyNumberFormat="1" applyFont="1" applyBorder="1" applyAlignment="1">
      <alignment vertical="center"/>
    </xf>
    <xf numFmtId="39" fontId="4" fillId="0" borderId="0" xfId="0" applyNumberFormat="1" applyFont="1" applyAlignment="1">
      <alignment vertical="center"/>
    </xf>
    <xf numFmtId="165" fontId="4" fillId="0" borderId="0" xfId="1" applyFont="1" applyFill="1" applyAlignment="1">
      <alignment vertical="center"/>
    </xf>
    <xf numFmtId="165" fontId="15" fillId="0" borderId="0" xfId="1" applyFont="1" applyFill="1" applyAlignment="1">
      <alignment vertical="center"/>
    </xf>
    <xf numFmtId="165" fontId="4" fillId="3" borderId="0" xfId="1" applyFont="1" applyFill="1" applyAlignment="1">
      <alignment vertical="center"/>
    </xf>
    <xf numFmtId="167" fontId="4" fillId="0" borderId="0" xfId="0" applyNumberFormat="1" applyFont="1" applyAlignment="1">
      <alignment vertical="center"/>
    </xf>
    <xf numFmtId="165" fontId="15" fillId="3" borderId="0" xfId="1" applyFont="1" applyFill="1" applyAlignment="1">
      <alignment vertical="center"/>
    </xf>
    <xf numFmtId="165" fontId="4" fillId="0" borderId="0" xfId="1" applyFont="1" applyAlignment="1">
      <alignment vertical="center"/>
    </xf>
    <xf numFmtId="166" fontId="15" fillId="0" borderId="0" xfId="1" applyNumberFormat="1" applyFont="1" applyAlignment="1">
      <alignment vertical="center"/>
    </xf>
    <xf numFmtId="0" fontId="0" fillId="0" borderId="0" xfId="0" applyAlignment="1">
      <alignment horizontal="left" vertical="center"/>
    </xf>
    <xf numFmtId="0" fontId="0" fillId="0" borderId="0" xfId="0" applyAlignment="1">
      <alignment horizontal="left"/>
    </xf>
    <xf numFmtId="166" fontId="6" fillId="0" borderId="0" xfId="0" applyNumberFormat="1" applyFont="1" applyAlignment="1">
      <alignment horizontal="right" vertical="center"/>
    </xf>
    <xf numFmtId="166" fontId="4" fillId="0" borderId="1" xfId="0" applyNumberFormat="1" applyFont="1" applyBorder="1" applyAlignment="1">
      <alignment vertical="center"/>
    </xf>
    <xf numFmtId="166" fontId="4" fillId="0" borderId="1" xfId="1" applyNumberFormat="1" applyFont="1" applyBorder="1" applyAlignment="1">
      <alignment vertical="center"/>
    </xf>
    <xf numFmtId="0" fontId="15" fillId="0" borderId="0" xfId="0" applyFont="1" applyAlignment="1">
      <alignment vertical="center"/>
    </xf>
    <xf numFmtId="0" fontId="15" fillId="0" borderId="0" xfId="0" applyFont="1" applyAlignment="1">
      <alignment horizontal="left" vertical="center"/>
    </xf>
    <xf numFmtId="166" fontId="3" fillId="0" borderId="0" xfId="1" applyNumberFormat="1" applyFont="1" applyBorder="1" applyAlignment="1">
      <alignment horizontal="left" vertical="center"/>
    </xf>
    <xf numFmtId="166" fontId="4" fillId="0" borderId="0" xfId="1" applyNumberFormat="1" applyFont="1" applyBorder="1" applyAlignment="1">
      <alignment horizontal="right" vertical="center"/>
    </xf>
    <xf numFmtId="166" fontId="0" fillId="0" borderId="0" xfId="0" applyNumberFormat="1"/>
    <xf numFmtId="165" fontId="0" fillId="0" borderId="0" xfId="0" applyNumberFormat="1"/>
    <xf numFmtId="166" fontId="4" fillId="0" borderId="0" xfId="1" applyNumberFormat="1" applyFont="1" applyBorder="1" applyAlignment="1">
      <alignment horizontal="left" vertical="center"/>
    </xf>
    <xf numFmtId="37" fontId="4" fillId="0" borderId="0" xfId="1" applyNumberFormat="1" applyFont="1" applyFill="1" applyAlignment="1">
      <alignment vertical="center"/>
    </xf>
    <xf numFmtId="39" fontId="15" fillId="0" borderId="0" xfId="0" applyNumberFormat="1" applyFont="1" applyAlignment="1">
      <alignment vertical="center"/>
    </xf>
    <xf numFmtId="165" fontId="15" fillId="0" borderId="0" xfId="0" applyNumberFormat="1" applyFont="1" applyAlignment="1">
      <alignment vertical="center"/>
    </xf>
    <xf numFmtId="165" fontId="15" fillId="0" borderId="0" xfId="1" applyFont="1" applyAlignment="1">
      <alignment vertical="center"/>
    </xf>
    <xf numFmtId="166" fontId="0" fillId="0" borderId="0" xfId="0" applyNumberFormat="1" applyAlignment="1">
      <alignment vertical="center"/>
    </xf>
    <xf numFmtId="166" fontId="4" fillId="0" borderId="0" xfId="1" applyNumberFormat="1" applyFont="1"/>
    <xf numFmtId="165" fontId="4" fillId="0" borderId="0" xfId="1" applyFont="1"/>
    <xf numFmtId="10" fontId="4" fillId="0" borderId="0" xfId="2" applyNumberFormat="1" applyFont="1"/>
    <xf numFmtId="168" fontId="0" fillId="0" borderId="0" xfId="0" applyNumberFormat="1"/>
    <xf numFmtId="0" fontId="17" fillId="0" borderId="0" xfId="0" applyFont="1" applyAlignment="1">
      <alignment horizontal="right" vertical="center"/>
    </xf>
    <xf numFmtId="166" fontId="4" fillId="0" borderId="0" xfId="0" applyNumberFormat="1" applyFont="1" applyAlignment="1">
      <alignment horizontal="right" vertical="center"/>
    </xf>
    <xf numFmtId="2" fontId="15" fillId="0" borderId="0" xfId="1" applyNumberFormat="1" applyFont="1" applyAlignment="1">
      <alignment vertical="center"/>
    </xf>
    <xf numFmtId="2" fontId="4" fillId="0" borderId="0" xfId="0" applyNumberFormat="1" applyFont="1" applyAlignment="1">
      <alignment vertical="center"/>
    </xf>
    <xf numFmtId="0" fontId="6" fillId="4" borderId="0" xfId="0" applyFont="1" applyFill="1" applyAlignment="1">
      <alignment vertical="center"/>
    </xf>
    <xf numFmtId="0" fontId="18" fillId="0" borderId="0" xfId="0" applyFont="1"/>
    <xf numFmtId="0" fontId="1" fillId="0" borderId="0" xfId="0" applyFont="1" applyAlignment="1">
      <alignment vertical="center"/>
    </xf>
    <xf numFmtId="0" fontId="19" fillId="0" borderId="0" xfId="0" applyFont="1"/>
    <xf numFmtId="0" fontId="0" fillId="5" borderId="0" xfId="0" applyFill="1" applyAlignment="1">
      <alignment horizontal="center" vertical="center"/>
    </xf>
    <xf numFmtId="0" fontId="20" fillId="0" borderId="0" xfId="0" applyFont="1" applyAlignment="1">
      <alignment vertical="center"/>
    </xf>
    <xf numFmtId="10" fontId="15" fillId="0" borderId="0" xfId="2" applyNumberFormat="1" applyFont="1" applyFill="1" applyAlignment="1">
      <alignment vertical="center"/>
    </xf>
    <xf numFmtId="0" fontId="21" fillId="0" borderId="0" xfId="0" applyFont="1" applyAlignment="1">
      <alignment vertical="center"/>
    </xf>
    <xf numFmtId="166" fontId="13" fillId="0" borderId="0" xfId="1" applyNumberFormat="1" applyFont="1" applyAlignment="1">
      <alignment vertical="center"/>
    </xf>
    <xf numFmtId="0" fontId="6" fillId="0" borderId="0" xfId="0" applyFont="1" applyAlignment="1">
      <alignment horizontal="center" vertical="center"/>
    </xf>
    <xf numFmtId="166" fontId="0" fillId="0" borderId="0" xfId="1" applyNumberFormat="1" applyFont="1"/>
    <xf numFmtId="166" fontId="0" fillId="0" borderId="0" xfId="0" applyNumberFormat="1" applyAlignment="1">
      <alignment horizontal="right" vertical="center"/>
    </xf>
    <xf numFmtId="0" fontId="22" fillId="0" borderId="0" xfId="0" applyFont="1" applyAlignment="1">
      <alignment vertical="center"/>
    </xf>
    <xf numFmtId="166" fontId="6" fillId="0" borderId="0" xfId="1" applyNumberFormat="1" applyFont="1" applyAlignment="1">
      <alignment vertical="center"/>
    </xf>
    <xf numFmtId="166" fontId="3" fillId="0" borderId="0" xfId="1" applyNumberFormat="1" applyFont="1" applyAlignment="1">
      <alignment vertical="center"/>
    </xf>
    <xf numFmtId="37" fontId="15" fillId="6" borderId="0" xfId="1" applyNumberFormat="1" applyFont="1" applyFill="1" applyAlignment="1">
      <alignment vertical="center"/>
    </xf>
    <xf numFmtId="37" fontId="23" fillId="0" borderId="0" xfId="0" applyNumberFormat="1" applyFont="1" applyAlignment="1">
      <alignment vertical="center"/>
    </xf>
    <xf numFmtId="166" fontId="0" fillId="0" borderId="0" xfId="1" applyNumberFormat="1" applyFont="1" applyAlignment="1"/>
    <xf numFmtId="37" fontId="0" fillId="0" borderId="0" xfId="0" applyNumberFormat="1" applyAlignment="1">
      <alignment horizontal="right" vertical="center"/>
    </xf>
    <xf numFmtId="0" fontId="14" fillId="0" borderId="0" xfId="0" applyFont="1" applyAlignment="1">
      <alignment horizontal="right" vertical="center"/>
    </xf>
    <xf numFmtId="17" fontId="6" fillId="0" borderId="0" xfId="0" applyNumberFormat="1" applyFont="1" applyAlignment="1">
      <alignment horizontal="right" vertical="center"/>
    </xf>
    <xf numFmtId="0" fontId="4"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xf>
    <xf numFmtId="0" fontId="17" fillId="0" borderId="0" xfId="0" applyFont="1" applyAlignment="1">
      <alignment vertical="center"/>
    </xf>
    <xf numFmtId="166" fontId="23" fillId="0" borderId="0" xfId="0" applyNumberFormat="1" applyFont="1" applyAlignment="1">
      <alignment vertical="center"/>
    </xf>
    <xf numFmtId="0" fontId="3" fillId="0" borderId="0" xfId="0" applyFont="1" applyAlignment="1">
      <alignment horizontal="left" vertical="center"/>
    </xf>
    <xf numFmtId="10" fontId="4" fillId="0" borderId="0" xfId="2" applyNumberFormat="1" applyFont="1" applyFill="1" applyAlignment="1">
      <alignment vertical="center"/>
    </xf>
    <xf numFmtId="166" fontId="4" fillId="0" borderId="0" xfId="0" applyNumberFormat="1" applyFont="1" applyAlignment="1">
      <alignment horizontal="center" vertical="center"/>
    </xf>
    <xf numFmtId="166" fontId="4" fillId="0" borderId="0" xfId="1" applyNumberFormat="1" applyFont="1" applyAlignment="1">
      <alignment horizontal="center" vertical="center"/>
    </xf>
    <xf numFmtId="0" fontId="4" fillId="0" borderId="0" xfId="1" applyNumberFormat="1" applyFont="1" applyFill="1" applyBorder="1" applyAlignment="1">
      <alignment horizontal="center" vertical="center"/>
    </xf>
    <xf numFmtId="169" fontId="4" fillId="0" borderId="0" xfId="0" applyNumberFormat="1" applyFont="1" applyAlignment="1">
      <alignment vertical="center"/>
    </xf>
    <xf numFmtId="169" fontId="4" fillId="0" borderId="0" xfId="1" applyNumberFormat="1" applyFont="1" applyFill="1" applyBorder="1" applyAlignment="1">
      <alignment vertical="center"/>
    </xf>
    <xf numFmtId="169" fontId="0" fillId="0" borderId="0" xfId="0" applyNumberFormat="1" applyAlignment="1">
      <alignment vertical="center"/>
    </xf>
    <xf numFmtId="169" fontId="4" fillId="0" borderId="0" xfId="0" applyNumberFormat="1" applyFont="1" applyAlignment="1">
      <alignment horizontal="left" vertical="center"/>
    </xf>
    <xf numFmtId="169" fontId="4" fillId="0" borderId="0" xfId="0" applyNumberFormat="1" applyFont="1" applyAlignment="1">
      <alignment horizontal="center" vertical="center"/>
    </xf>
    <xf numFmtId="169" fontId="4" fillId="0" borderId="0" xfId="0" applyNumberFormat="1" applyFont="1"/>
    <xf numFmtId="169" fontId="25" fillId="0" borderId="0" xfId="0" applyNumberFormat="1" applyFont="1" applyAlignment="1">
      <alignment horizontal="center" vertical="center"/>
    </xf>
    <xf numFmtId="169" fontId="21" fillId="0" borderId="0" xfId="0" applyNumberFormat="1" applyFont="1" applyAlignment="1">
      <alignment horizontal="center" vertical="center"/>
    </xf>
    <xf numFmtId="169" fontId="4" fillId="0" borderId="0" xfId="0" applyNumberFormat="1" applyFont="1" applyAlignment="1">
      <alignment horizontal="right" vertical="center"/>
    </xf>
    <xf numFmtId="169" fontId="4" fillId="0" borderId="0" xfId="1" applyNumberFormat="1" applyFont="1" applyAlignment="1">
      <alignment vertical="center"/>
    </xf>
    <xf numFmtId="0" fontId="4" fillId="7" borderId="0" xfId="0" applyFont="1" applyFill="1"/>
    <xf numFmtId="0" fontId="6" fillId="0" borderId="0" xfId="0" applyFont="1"/>
    <xf numFmtId="0" fontId="26" fillId="0" borderId="0" xfId="0" applyFont="1" applyAlignment="1">
      <alignment horizontal="center"/>
    </xf>
    <xf numFmtId="0" fontId="4" fillId="0" borderId="0" xfId="0" applyFont="1" applyAlignment="1">
      <alignment horizontal="center"/>
    </xf>
    <xf numFmtId="0" fontId="26" fillId="0" borderId="0" xfId="0" applyFont="1" applyAlignment="1">
      <alignment horizontal="center" vertical="center"/>
    </xf>
    <xf numFmtId="0" fontId="4" fillId="8" borderId="0" xfId="0" applyFont="1" applyFill="1" applyAlignment="1">
      <alignment horizontal="center"/>
    </xf>
    <xf numFmtId="166" fontId="4" fillId="0" borderId="0" xfId="0" applyNumberFormat="1" applyFont="1"/>
    <xf numFmtId="37" fontId="4" fillId="0" borderId="0" xfId="0" applyNumberFormat="1" applyFont="1"/>
    <xf numFmtId="166" fontId="4" fillId="0" borderId="0" xfId="0" applyNumberFormat="1" applyFont="1" applyAlignment="1">
      <alignment horizontal="left"/>
    </xf>
    <xf numFmtId="0" fontId="4" fillId="8" borderId="0" xfId="0" applyFont="1" applyFill="1" applyAlignment="1">
      <alignment horizontal="center" vertical="center"/>
    </xf>
    <xf numFmtId="169" fontId="25" fillId="0" borderId="0" xfId="1" applyNumberFormat="1" applyFont="1" applyAlignment="1">
      <alignment vertical="center"/>
    </xf>
    <xf numFmtId="169" fontId="25" fillId="0" borderId="0" xfId="1" applyNumberFormat="1" applyFont="1" applyBorder="1" applyAlignment="1">
      <alignment horizontal="right" vertical="center"/>
    </xf>
    <xf numFmtId="169" fontId="25" fillId="0" borderId="0" xfId="1" applyNumberFormat="1" applyFont="1" applyAlignment="1">
      <alignment horizontal="center" vertical="center"/>
    </xf>
    <xf numFmtId="0" fontId="4" fillId="4" borderId="0" xfId="0" applyFont="1" applyFill="1" applyAlignment="1">
      <alignment horizontal="center"/>
    </xf>
    <xf numFmtId="0" fontId="4" fillId="4" borderId="0" xfId="0" applyFont="1" applyFill="1" applyAlignment="1">
      <alignment horizontal="center" vertical="center"/>
    </xf>
    <xf numFmtId="0" fontId="4" fillId="9" borderId="0" xfId="0" applyFont="1" applyFill="1" applyAlignment="1">
      <alignment horizontal="center"/>
    </xf>
    <xf numFmtId="0" fontId="4" fillId="9" borderId="0" xfId="0" applyFont="1" applyFill="1" applyAlignment="1">
      <alignment horizontal="center" vertical="center"/>
    </xf>
    <xf numFmtId="169" fontId="25" fillId="0" borderId="0" xfId="1" applyNumberFormat="1" applyFont="1" applyFill="1" applyAlignment="1">
      <alignment horizontal="center" vertical="center"/>
    </xf>
    <xf numFmtId="166" fontId="4" fillId="0" borderId="0" xfId="0" applyNumberFormat="1" applyFont="1" applyAlignment="1">
      <alignment horizontal="left" vertical="center"/>
    </xf>
    <xf numFmtId="169" fontId="25" fillId="0" borderId="0" xfId="1" applyNumberFormat="1" applyFont="1" applyAlignment="1">
      <alignment horizontal="right" vertical="center"/>
    </xf>
    <xf numFmtId="0" fontId="4" fillId="10" borderId="0" xfId="0" applyFont="1" applyFill="1" applyAlignment="1">
      <alignment horizont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6" fillId="14" borderId="0" xfId="0" applyFont="1" applyFill="1" applyAlignment="1">
      <alignment horizontal="center" vertical="center"/>
    </xf>
    <xf numFmtId="0" fontId="4" fillId="14" borderId="0" xfId="0" applyFont="1" applyFill="1" applyAlignment="1">
      <alignment horizontal="center" vertical="center"/>
    </xf>
    <xf numFmtId="0" fontId="4" fillId="12" borderId="0" xfId="0" applyFont="1" applyFill="1" applyAlignment="1">
      <alignment vertical="center"/>
    </xf>
    <xf numFmtId="0" fontId="4" fillId="13" borderId="0" xfId="0" applyFont="1" applyFill="1" applyAlignment="1">
      <alignment vertical="center"/>
    </xf>
    <xf numFmtId="0" fontId="4" fillId="8" borderId="0" xfId="0" applyFont="1" applyFill="1" applyAlignment="1">
      <alignment vertical="center"/>
    </xf>
    <xf numFmtId="0" fontId="4" fillId="9" borderId="0" xfId="0" applyFont="1" applyFill="1" applyAlignment="1">
      <alignment vertical="center"/>
    </xf>
    <xf numFmtId="0" fontId="4" fillId="4" borderId="0" xfId="0" applyFont="1" applyFill="1" applyAlignment="1">
      <alignment vertical="center"/>
    </xf>
    <xf numFmtId="0" fontId="4" fillId="14" borderId="0" xfId="0" applyFont="1" applyFill="1" applyAlignment="1">
      <alignment vertical="center"/>
    </xf>
    <xf numFmtId="170" fontId="4" fillId="0" borderId="0" xfId="1" applyNumberFormat="1" applyFont="1" applyAlignment="1">
      <alignment vertical="center"/>
    </xf>
    <xf numFmtId="166" fontId="4" fillId="0" borderId="0" xfId="1"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STARBUCKS vs Competitors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'Time Series (STARBUCKS)'!$O$269</c:f>
              <c:strCache>
                <c:ptCount val="1"/>
                <c:pt idx="0">
                  <c:v>Pre-Pandemic</c:v>
                </c:pt>
              </c:strCache>
            </c:strRef>
          </c:tx>
          <c:spPr>
            <a:ln w="28575" cap="rnd">
              <a:solidFill>
                <a:schemeClr val="accent6"/>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(STARBUCKS)'!$O$270:$O$301</c:f>
              <c:numCache>
                <c:formatCode>_(* #,##0_);_(* \(#,##0\);_(* "-"??_);_(@_)</c:formatCode>
                <c:ptCount val="32"/>
                <c:pt idx="0">
                  <c:v>6031.8</c:v>
                </c:pt>
                <c:pt idx="1">
                  <c:v>6310.3</c:v>
                </c:pt>
                <c:pt idx="2">
                  <c:v>6303.6</c:v>
                </c:pt>
                <c:pt idx="3">
                  <c:v>6632.7</c:v>
                </c:pt>
                <c:pt idx="4">
                  <c:v>6305.9</c:v>
                </c:pt>
                <c:pt idx="5">
                  <c:v>6823</c:v>
                </c:pt>
                <c:pt idx="6">
                  <c:v>6747</c:v>
                </c:pt>
                <c:pt idx="7">
                  <c:v>7097.1</c:v>
                </c:pt>
              </c:numCache>
            </c:numRef>
          </c:val>
          <c:smooth val="0"/>
          <c:extLst>
            <c:ext xmlns:c16="http://schemas.microsoft.com/office/drawing/2014/chart" uri="{C3380CC4-5D6E-409C-BE32-E72D297353CC}">
              <c16:uniqueId val="{00000000-BA52-4D6E-968A-633D974201DA}"/>
            </c:ext>
          </c:extLst>
        </c:ser>
        <c:ser>
          <c:idx val="1"/>
          <c:order val="1"/>
          <c:tx>
            <c:strRef>
              <c:f>'Time Series (STARBUCKS)'!$P$269</c:f>
              <c:strCache>
                <c:ptCount val="1"/>
                <c:pt idx="0">
                  <c:v>Pandemic</c:v>
                </c:pt>
              </c:strCache>
            </c:strRef>
          </c:tx>
          <c:spPr>
            <a:ln w="28575" cap="rnd">
              <a:solidFill>
                <a:schemeClr val="accent6">
                  <a:lumMod val="75000"/>
                </a:schemeClr>
              </a:solidFill>
              <a:prstDash val="dash"/>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(STARBUCKS)'!$P$270:$P$301</c:f>
              <c:numCache>
                <c:formatCode>_(* #,##0_);_(* \(#,##0\);_(* "-"??_);_(@_)</c:formatCode>
                <c:ptCount val="32"/>
                <c:pt idx="7">
                  <c:v>7097.1</c:v>
                </c:pt>
                <c:pt idx="8">
                  <c:v>5995.7</c:v>
                </c:pt>
                <c:pt idx="9">
                  <c:v>4222.1000000000004</c:v>
                </c:pt>
                <c:pt idx="10">
                  <c:v>6203.1</c:v>
                </c:pt>
                <c:pt idx="11">
                  <c:v>6749.4</c:v>
                </c:pt>
              </c:numCache>
            </c:numRef>
          </c:val>
          <c:smooth val="0"/>
          <c:extLst>
            <c:ext xmlns:c16="http://schemas.microsoft.com/office/drawing/2014/chart" uri="{C3380CC4-5D6E-409C-BE32-E72D297353CC}">
              <c16:uniqueId val="{00000001-BA52-4D6E-968A-633D974201DA}"/>
            </c:ext>
          </c:extLst>
        </c:ser>
        <c:ser>
          <c:idx val="2"/>
          <c:order val="2"/>
          <c:tx>
            <c:strRef>
              <c:f>'Time Series (STARBUCKS)'!$Q$269</c:f>
              <c:strCache>
                <c:ptCount val="1"/>
                <c:pt idx="0">
                  <c:v>Post-Pandemic</c:v>
                </c:pt>
              </c:strCache>
            </c:strRef>
          </c:tx>
          <c:spPr>
            <a:ln w="28575" cap="rnd">
              <a:solidFill>
                <a:schemeClr val="accent6">
                  <a:lumMod val="75000"/>
                </a:schemeClr>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(STARBUCKS)'!$Q$270:$Q$301</c:f>
              <c:numCache>
                <c:formatCode>_(* #,##0_);_(* \(#,##0\);_(* "-"??_);_(@_)</c:formatCode>
                <c:ptCount val="32"/>
                <c:pt idx="11">
                  <c:v>6749.4</c:v>
                </c:pt>
                <c:pt idx="12">
                  <c:v>6668</c:v>
                </c:pt>
                <c:pt idx="13">
                  <c:v>7496.5</c:v>
                </c:pt>
                <c:pt idx="14">
                  <c:v>8146.7</c:v>
                </c:pt>
                <c:pt idx="15">
                  <c:v>8050.4</c:v>
                </c:pt>
                <c:pt idx="16">
                  <c:v>7636</c:v>
                </c:pt>
                <c:pt idx="17">
                  <c:v>8150.1</c:v>
                </c:pt>
                <c:pt idx="18">
                  <c:v>8414.2000000000007</c:v>
                </c:pt>
                <c:pt idx="19">
                  <c:v>8714</c:v>
                </c:pt>
                <c:pt idx="20">
                  <c:v>8719.7999999999993</c:v>
                </c:pt>
                <c:pt idx="21">
                  <c:v>9168.2999999999993</c:v>
                </c:pt>
                <c:pt idx="22">
                  <c:v>9373.6</c:v>
                </c:pt>
                <c:pt idx="23">
                  <c:v>9425.2999999999993</c:v>
                </c:pt>
                <c:pt idx="24">
                  <c:v>8563</c:v>
                </c:pt>
                <c:pt idx="25">
                  <c:v>9113.9</c:v>
                </c:pt>
                <c:pt idx="26">
                  <c:v>9074</c:v>
                </c:pt>
                <c:pt idx="27">
                  <c:v>9397.7999999999993</c:v>
                </c:pt>
                <c:pt idx="28">
                  <c:v>8761.6</c:v>
                </c:pt>
                <c:pt idx="29">
                  <c:v>9456</c:v>
                </c:pt>
                <c:pt idx="30">
                  <c:v>9569</c:v>
                </c:pt>
                <c:pt idx="31">
                  <c:v>9915.1</c:v>
                </c:pt>
              </c:numCache>
            </c:numRef>
          </c:val>
          <c:smooth val="0"/>
          <c:extLst>
            <c:ext xmlns:c16="http://schemas.microsoft.com/office/drawing/2014/chart" uri="{C3380CC4-5D6E-409C-BE32-E72D297353CC}">
              <c16:uniqueId val="{00000002-BA52-4D6E-968A-633D974201DA}"/>
            </c:ext>
          </c:extLst>
        </c:ser>
        <c:ser>
          <c:idx val="4"/>
          <c:order val="4"/>
          <c:tx>
            <c:strRef>
              <c:f>'Time Series (STARBUCKS)'!$S$269</c:f>
              <c:strCache>
                <c:ptCount val="1"/>
                <c:pt idx="0">
                  <c:v>McDONALDS</c:v>
                </c:pt>
              </c:strCache>
            </c:strRef>
          </c:tx>
          <c:spPr>
            <a:ln w="28575" cap="rnd">
              <a:solidFill>
                <a:schemeClr val="accent4"/>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(STARBUCKS)'!$S$270:$S$301</c:f>
              <c:numCache>
                <c:formatCode>_(* #,##0_);_(* \(#,##0\);_(* "-"??_);_(@_)</c:formatCode>
                <c:ptCount val="32"/>
                <c:pt idx="0">
                  <c:v>5139</c:v>
                </c:pt>
                <c:pt idx="1">
                  <c:v>5354</c:v>
                </c:pt>
                <c:pt idx="2">
                  <c:v>5369</c:v>
                </c:pt>
                <c:pt idx="3">
                  <c:v>5163</c:v>
                </c:pt>
                <c:pt idx="4">
                  <c:v>4955.6000000000004</c:v>
                </c:pt>
                <c:pt idx="5">
                  <c:v>5341.3</c:v>
                </c:pt>
                <c:pt idx="6">
                  <c:v>5430.6</c:v>
                </c:pt>
                <c:pt idx="7">
                  <c:v>5349</c:v>
                </c:pt>
                <c:pt idx="8">
                  <c:v>4714.3999999999996</c:v>
                </c:pt>
                <c:pt idx="9">
                  <c:v>3761.5</c:v>
                </c:pt>
                <c:pt idx="10">
                  <c:v>5418.1</c:v>
                </c:pt>
                <c:pt idx="11">
                  <c:v>5313.8</c:v>
                </c:pt>
                <c:pt idx="12">
                  <c:v>5124.6000000000004</c:v>
                </c:pt>
                <c:pt idx="13">
                  <c:v>5887.9</c:v>
                </c:pt>
                <c:pt idx="14">
                  <c:v>6201.3</c:v>
                </c:pt>
                <c:pt idx="15">
                  <c:v>6009.1</c:v>
                </c:pt>
                <c:pt idx="16">
                  <c:v>5665.6</c:v>
                </c:pt>
                <c:pt idx="17">
                  <c:v>5718.4</c:v>
                </c:pt>
                <c:pt idx="18">
                  <c:v>5872.1</c:v>
                </c:pt>
                <c:pt idx="19">
                  <c:v>5927</c:v>
                </c:pt>
                <c:pt idx="20">
                  <c:v>5897.8</c:v>
                </c:pt>
                <c:pt idx="21">
                  <c:v>6497.5</c:v>
                </c:pt>
                <c:pt idx="22">
                  <c:v>6692.2</c:v>
                </c:pt>
                <c:pt idx="23">
                  <c:v>6406.2</c:v>
                </c:pt>
                <c:pt idx="24">
                  <c:v>6169</c:v>
                </c:pt>
                <c:pt idx="25">
                  <c:v>6490</c:v>
                </c:pt>
                <c:pt idx="26">
                  <c:v>6874</c:v>
                </c:pt>
                <c:pt idx="27">
                  <c:v>6388</c:v>
                </c:pt>
                <c:pt idx="28">
                  <c:v>5956</c:v>
                </c:pt>
                <c:pt idx="29">
                  <c:v>6843</c:v>
                </c:pt>
                <c:pt idx="30">
                  <c:v>7078</c:v>
                </c:pt>
                <c:pt idx="31">
                  <c:v>7009</c:v>
                </c:pt>
              </c:numCache>
            </c:numRef>
          </c:val>
          <c:smooth val="0"/>
          <c:extLst>
            <c:ext xmlns:c16="http://schemas.microsoft.com/office/drawing/2014/chart" uri="{C3380CC4-5D6E-409C-BE32-E72D297353CC}">
              <c16:uniqueId val="{00000003-BA52-4D6E-968A-633D974201DA}"/>
            </c:ext>
          </c:extLst>
        </c:ser>
        <c:dLbls>
          <c:showLegendKey val="0"/>
          <c:showVal val="0"/>
          <c:showCatName val="0"/>
          <c:showSerName val="0"/>
          <c:showPercent val="0"/>
          <c:showBubbleSize val="0"/>
        </c:dLbls>
        <c:marker val="1"/>
        <c:smooth val="0"/>
        <c:axId val="1224517695"/>
        <c:axId val="1224510079"/>
      </c:lineChart>
      <c:lineChart>
        <c:grouping val="standard"/>
        <c:varyColors val="0"/>
        <c:ser>
          <c:idx val="3"/>
          <c:order val="3"/>
          <c:tx>
            <c:strRef>
              <c:f>'Time Series (STARBUCKS)'!$R$269</c:f>
              <c:strCache>
                <c:ptCount val="1"/>
                <c:pt idx="0">
                  <c:v>LUCKIN (US$)</c:v>
                </c:pt>
              </c:strCache>
            </c:strRef>
          </c:tx>
          <c:spPr>
            <a:ln w="38100" cap="rnd">
              <a:solidFill>
                <a:schemeClr val="tx2">
                  <a:lumMod val="20000"/>
                  <a:lumOff val="80000"/>
                </a:schemeClr>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(STARBUCKS)'!$R$270:$R$301</c:f>
              <c:numCache>
                <c:formatCode>_(* #,##0_);_(* \(#,##0\);_(* "-"??_);_(@_)</c:formatCode>
                <c:ptCount val="32"/>
                <c:pt idx="0">
                  <c:v>0</c:v>
                </c:pt>
                <c:pt idx="1">
                  <c:v>0</c:v>
                </c:pt>
                <c:pt idx="2">
                  <c:v>0</c:v>
                </c:pt>
                <c:pt idx="3">
                  <c:v>67.667849146579044</c:v>
                </c:pt>
                <c:pt idx="4">
                  <c:v>71.290654191683714</c:v>
                </c:pt>
                <c:pt idx="5">
                  <c:v>95.152618395759305</c:v>
                </c:pt>
                <c:pt idx="6">
                  <c:v>118.37493682259785</c:v>
                </c:pt>
                <c:pt idx="7">
                  <c:v>150.72414040628814</c:v>
                </c:pt>
                <c:pt idx="8">
                  <c:v>108.88689141745273</c:v>
                </c:pt>
                <c:pt idx="9">
                  <c:v>109.28598720706442</c:v>
                </c:pt>
                <c:pt idx="10">
                  <c:v>168.31686521668703</c:v>
                </c:pt>
                <c:pt idx="11">
                  <c:v>206.01224552273072</c:v>
                </c:pt>
                <c:pt idx="12">
                  <c:v>193.17898743814237</c:v>
                </c:pt>
                <c:pt idx="13">
                  <c:v>295.65085740769354</c:v>
                </c:pt>
                <c:pt idx="14">
                  <c:v>364.55985232754745</c:v>
                </c:pt>
                <c:pt idx="15">
                  <c:v>382.74107522144783</c:v>
                </c:pt>
                <c:pt idx="16">
                  <c:v>377.89725133975577</c:v>
                </c:pt>
                <c:pt idx="17">
                  <c:v>492.27383972541406</c:v>
                </c:pt>
                <c:pt idx="18">
                  <c:v>546.02894859999992</c:v>
                </c:pt>
                <c:pt idx="19">
                  <c:v>534.36922966600002</c:v>
                </c:pt>
                <c:pt idx="20">
                  <c:v>665.50905</c:v>
                </c:pt>
                <c:pt idx="21">
                  <c:v>868.20006000000012</c:v>
                </c:pt>
                <c:pt idx="22">
                  <c:v>984.24533129999986</c:v>
                </c:pt>
                <c:pt idx="23">
                  <c:v>996.05493643499995</c:v>
                </c:pt>
                <c:pt idx="24">
                  <c:v>869.51652735700009</c:v>
                </c:pt>
                <c:pt idx="25">
                  <c:v>1156.2268206840001</c:v>
                </c:pt>
                <c:pt idx="26">
                  <c:v>1452.103016112</c:v>
                </c:pt>
                <c:pt idx="27">
                  <c:v>1317.018949</c:v>
                </c:pt>
                <c:pt idx="28">
                  <c:v>1220.669575179</c:v>
                </c:pt>
                <c:pt idx="29">
                  <c:v>1724.87226558</c:v>
                </c:pt>
                <c:pt idx="30">
                  <c:v>2146.86057996</c:v>
                </c:pt>
                <c:pt idx="31">
                  <c:v>1820.8515969600001</c:v>
                </c:pt>
              </c:numCache>
            </c:numRef>
          </c:val>
          <c:smooth val="0"/>
          <c:extLst>
            <c:ext xmlns:c16="http://schemas.microsoft.com/office/drawing/2014/chart" uri="{C3380CC4-5D6E-409C-BE32-E72D297353CC}">
              <c16:uniqueId val="{00000004-BA52-4D6E-968A-633D974201DA}"/>
            </c:ext>
          </c:extLst>
        </c:ser>
        <c:ser>
          <c:idx val="5"/>
          <c:order val="5"/>
          <c:tx>
            <c:strRef>
              <c:f>'Time Series (STARBUCKS)'!$T$269</c:f>
              <c:strCache>
                <c:ptCount val="1"/>
                <c:pt idx="0">
                  <c:v>REST BRANDS</c:v>
                </c:pt>
              </c:strCache>
            </c:strRef>
          </c:tx>
          <c:spPr>
            <a:ln w="28575" cap="rnd">
              <a:solidFill>
                <a:srgbClr val="00B0F0"/>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(STARBUCKS)'!$T$270:$T$301</c:f>
              <c:numCache>
                <c:formatCode>_(* #,##0_);_(* \(#,##0\);_(* "-"??_);_(@_)</c:formatCode>
                <c:ptCount val="32"/>
                <c:pt idx="0">
                  <c:v>1254</c:v>
                </c:pt>
                <c:pt idx="1">
                  <c:v>1343</c:v>
                </c:pt>
                <c:pt idx="2">
                  <c:v>1375</c:v>
                </c:pt>
                <c:pt idx="3">
                  <c:v>1384.5</c:v>
                </c:pt>
                <c:pt idx="4">
                  <c:v>1266</c:v>
                </c:pt>
                <c:pt idx="5">
                  <c:v>1400</c:v>
                </c:pt>
                <c:pt idx="6">
                  <c:v>1458</c:v>
                </c:pt>
                <c:pt idx="7">
                  <c:v>1479</c:v>
                </c:pt>
                <c:pt idx="8">
                  <c:v>1225</c:v>
                </c:pt>
                <c:pt idx="9">
                  <c:v>1048</c:v>
                </c:pt>
                <c:pt idx="10">
                  <c:v>1337</c:v>
                </c:pt>
                <c:pt idx="11">
                  <c:v>1358</c:v>
                </c:pt>
                <c:pt idx="12">
                  <c:v>1260</c:v>
                </c:pt>
                <c:pt idx="13">
                  <c:v>1438</c:v>
                </c:pt>
                <c:pt idx="14">
                  <c:v>1495</c:v>
                </c:pt>
                <c:pt idx="15">
                  <c:v>1546</c:v>
                </c:pt>
                <c:pt idx="16">
                  <c:v>1451</c:v>
                </c:pt>
                <c:pt idx="17">
                  <c:v>1639</c:v>
                </c:pt>
                <c:pt idx="18">
                  <c:v>1726</c:v>
                </c:pt>
                <c:pt idx="19">
                  <c:v>1689</c:v>
                </c:pt>
                <c:pt idx="20">
                  <c:v>1590</c:v>
                </c:pt>
                <c:pt idx="21">
                  <c:v>1775</c:v>
                </c:pt>
                <c:pt idx="22">
                  <c:v>1837</c:v>
                </c:pt>
                <c:pt idx="23">
                  <c:v>1820</c:v>
                </c:pt>
                <c:pt idx="24">
                  <c:v>1739</c:v>
                </c:pt>
                <c:pt idx="25">
                  <c:v>2080</c:v>
                </c:pt>
                <c:pt idx="26">
                  <c:v>2291</c:v>
                </c:pt>
                <c:pt idx="27">
                  <c:v>2296</c:v>
                </c:pt>
                <c:pt idx="28">
                  <c:v>2109</c:v>
                </c:pt>
                <c:pt idx="29">
                  <c:v>2410</c:v>
                </c:pt>
                <c:pt idx="30">
                  <c:v>2449</c:v>
                </c:pt>
                <c:pt idx="31">
                  <c:v>2466</c:v>
                </c:pt>
              </c:numCache>
            </c:numRef>
          </c:val>
          <c:smooth val="0"/>
          <c:extLst>
            <c:ext xmlns:c16="http://schemas.microsoft.com/office/drawing/2014/chart" uri="{C3380CC4-5D6E-409C-BE32-E72D297353CC}">
              <c16:uniqueId val="{00000005-BA52-4D6E-968A-633D974201DA}"/>
            </c:ext>
          </c:extLst>
        </c:ser>
        <c:ser>
          <c:idx val="6"/>
          <c:order val="6"/>
          <c:tx>
            <c:strRef>
              <c:f>'Time Series (STARBUCKS)'!$U$269</c:f>
              <c:strCache>
                <c:ptCount val="1"/>
                <c:pt idx="0">
                  <c:v>YUM BRANDS</c:v>
                </c:pt>
              </c:strCache>
            </c:strRef>
          </c:tx>
          <c:spPr>
            <a:ln w="28575" cap="rnd">
              <a:solidFill>
                <a:srgbClr val="C00000"/>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(STARBUCKS)'!$U$270:$U$301</c:f>
              <c:numCache>
                <c:formatCode>_(* #,##0_);_(* \(#,##0\);_(* "-"??_);_(@_)</c:formatCode>
                <c:ptCount val="32"/>
                <c:pt idx="0">
                  <c:v>1371</c:v>
                </c:pt>
                <c:pt idx="1">
                  <c:v>1368</c:v>
                </c:pt>
                <c:pt idx="2">
                  <c:v>1391</c:v>
                </c:pt>
                <c:pt idx="3">
                  <c:v>1558</c:v>
                </c:pt>
                <c:pt idx="4">
                  <c:v>1254</c:v>
                </c:pt>
                <c:pt idx="5">
                  <c:v>1310</c:v>
                </c:pt>
                <c:pt idx="6">
                  <c:v>1339</c:v>
                </c:pt>
                <c:pt idx="7">
                  <c:v>1694</c:v>
                </c:pt>
                <c:pt idx="8">
                  <c:v>1263</c:v>
                </c:pt>
                <c:pt idx="9">
                  <c:v>1198</c:v>
                </c:pt>
                <c:pt idx="10">
                  <c:v>1448</c:v>
                </c:pt>
                <c:pt idx="11">
                  <c:v>1743</c:v>
                </c:pt>
                <c:pt idx="12">
                  <c:v>1486</c:v>
                </c:pt>
                <c:pt idx="13">
                  <c:v>1602</c:v>
                </c:pt>
                <c:pt idx="14">
                  <c:v>1606</c:v>
                </c:pt>
                <c:pt idx="15">
                  <c:v>1890</c:v>
                </c:pt>
                <c:pt idx="16">
                  <c:v>1547</c:v>
                </c:pt>
                <c:pt idx="17">
                  <c:v>1636</c:v>
                </c:pt>
                <c:pt idx="18">
                  <c:v>1640</c:v>
                </c:pt>
                <c:pt idx="19">
                  <c:v>2019</c:v>
                </c:pt>
                <c:pt idx="20">
                  <c:v>1645</c:v>
                </c:pt>
                <c:pt idx="21">
                  <c:v>1687</c:v>
                </c:pt>
                <c:pt idx="22">
                  <c:v>1708</c:v>
                </c:pt>
                <c:pt idx="23">
                  <c:v>2036</c:v>
                </c:pt>
                <c:pt idx="24">
                  <c:v>1598</c:v>
                </c:pt>
                <c:pt idx="25">
                  <c:v>1763</c:v>
                </c:pt>
                <c:pt idx="26">
                  <c:v>1826</c:v>
                </c:pt>
                <c:pt idx="27">
                  <c:v>2362</c:v>
                </c:pt>
                <c:pt idx="28">
                  <c:v>1787</c:v>
                </c:pt>
                <c:pt idx="29">
                  <c:v>1933</c:v>
                </c:pt>
                <c:pt idx="30">
                  <c:v>1979</c:v>
                </c:pt>
                <c:pt idx="31">
                  <c:v>2515</c:v>
                </c:pt>
              </c:numCache>
            </c:numRef>
          </c:val>
          <c:smooth val="0"/>
          <c:extLst>
            <c:ext xmlns:c16="http://schemas.microsoft.com/office/drawing/2014/chart" uri="{C3380CC4-5D6E-409C-BE32-E72D297353CC}">
              <c16:uniqueId val="{00000006-BA52-4D6E-968A-633D974201DA}"/>
            </c:ext>
          </c:extLst>
        </c:ser>
        <c:ser>
          <c:idx val="7"/>
          <c:order val="7"/>
          <c:tx>
            <c:strRef>
              <c:f>'Time Series (STARBUCKS)'!$V$269</c:f>
              <c:strCache>
                <c:ptCount val="1"/>
                <c:pt idx="0">
                  <c:v>OTHERS - JDE PEETS (EUR)</c:v>
                </c:pt>
              </c:strCache>
            </c:strRef>
          </c:tx>
          <c:spPr>
            <a:ln w="28575" cap="rnd">
              <a:solidFill>
                <a:srgbClr val="DDB1FE"/>
              </a:solidFill>
              <a:round/>
            </a:ln>
            <a:effectLst/>
          </c:spPr>
          <c:marker>
            <c:symbol val="none"/>
          </c:marker>
          <c:cat>
            <c:multiLvlStrRef>
              <c:f>'Time Series (STARBUCKS)'!$M$270:$N$301</c:f>
              <c:multiLvlStrCache>
                <c:ptCount val="32"/>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lvl>
                <c:lvl>
                  <c:pt idx="0">
                    <c:v>2018</c:v>
                  </c:pt>
                  <c:pt idx="1">
                    <c:v>2018</c:v>
                  </c:pt>
                  <c:pt idx="2">
                    <c:v>2018</c:v>
                  </c:pt>
                  <c:pt idx="3">
                    <c:v>2018</c:v>
                  </c:pt>
                  <c:pt idx="4">
                    <c:v>2019</c:v>
                  </c:pt>
                  <c:pt idx="5">
                    <c:v>2019</c:v>
                  </c:pt>
                  <c:pt idx="6">
                    <c:v>2019</c:v>
                  </c:pt>
                  <c:pt idx="7">
                    <c:v>2019</c:v>
                  </c:pt>
                  <c:pt idx="8">
                    <c:v>2020</c:v>
                  </c:pt>
                  <c:pt idx="9">
                    <c:v>2020</c:v>
                  </c:pt>
                  <c:pt idx="10">
                    <c:v>2020</c:v>
                  </c:pt>
                  <c:pt idx="11">
                    <c:v>2020</c:v>
                  </c:pt>
                  <c:pt idx="12">
                    <c:v>2021</c:v>
                  </c:pt>
                  <c:pt idx="13">
                    <c:v>2021</c:v>
                  </c:pt>
                  <c:pt idx="14">
                    <c:v>2021</c:v>
                  </c:pt>
                  <c:pt idx="15">
                    <c:v>2021</c:v>
                  </c:pt>
                  <c:pt idx="16">
                    <c:v>2022</c:v>
                  </c:pt>
                  <c:pt idx="17">
                    <c:v>2022</c:v>
                  </c:pt>
                  <c:pt idx="18">
                    <c:v>2022</c:v>
                  </c:pt>
                  <c:pt idx="19">
                    <c:v>2022</c:v>
                  </c:pt>
                  <c:pt idx="20">
                    <c:v>2023</c:v>
                  </c:pt>
                  <c:pt idx="21">
                    <c:v>2023</c:v>
                  </c:pt>
                  <c:pt idx="22">
                    <c:v>2023</c:v>
                  </c:pt>
                  <c:pt idx="23">
                    <c:v>2023</c:v>
                  </c:pt>
                  <c:pt idx="24">
                    <c:v>2024</c:v>
                  </c:pt>
                  <c:pt idx="25">
                    <c:v>2024</c:v>
                  </c:pt>
                  <c:pt idx="26">
                    <c:v>2024</c:v>
                  </c:pt>
                  <c:pt idx="27">
                    <c:v>2024</c:v>
                  </c:pt>
                  <c:pt idx="28">
                    <c:v>2025</c:v>
                  </c:pt>
                  <c:pt idx="29">
                    <c:v>2025</c:v>
                  </c:pt>
                  <c:pt idx="30">
                    <c:v>2025</c:v>
                  </c:pt>
                  <c:pt idx="31">
                    <c:v>2025</c:v>
                  </c:pt>
                </c:lvl>
              </c:multiLvlStrCache>
            </c:multiLvlStrRef>
          </c:cat>
          <c:val>
            <c:numRef>
              <c:f>'Time Series (STARBUCKS)'!$V$270:$V$301</c:f>
              <c:numCache>
                <c:formatCode>_(* #,##0_);_(* \(#,##0\);_(* "-"??_);_(@_)</c:formatCode>
                <c:ptCount val="32"/>
                <c:pt idx="0">
                  <c:v>948.40899999999999</c:v>
                </c:pt>
                <c:pt idx="1">
                  <c:v>899.66800000000012</c:v>
                </c:pt>
                <c:pt idx="2">
                  <c:v>962.79984999999988</c:v>
                </c:pt>
                <c:pt idx="3">
                  <c:v>944.15859999999998</c:v>
                </c:pt>
                <c:pt idx="4">
                  <c:v>1871.2511999999999</c:v>
                </c:pt>
                <c:pt idx="5">
                  <c:v>1897.4074000000001</c:v>
                </c:pt>
                <c:pt idx="6">
                  <c:v>1983.5370000000003</c:v>
                </c:pt>
                <c:pt idx="7">
                  <c:v>2016.0540000000001</c:v>
                </c:pt>
                <c:pt idx="8">
                  <c:v>1748.249</c:v>
                </c:pt>
                <c:pt idx="9">
                  <c:v>1819.441</c:v>
                </c:pt>
                <c:pt idx="10">
                  <c:v>2000.6777499999998</c:v>
                </c:pt>
                <c:pt idx="11">
                  <c:v>2072.05125</c:v>
                </c:pt>
                <c:pt idx="12">
                  <c:v>1913.1893</c:v>
                </c:pt>
                <c:pt idx="13">
                  <c:v>1930.4355000000003</c:v>
                </c:pt>
                <c:pt idx="14">
                  <c:v>2172.3232499999999</c:v>
                </c:pt>
                <c:pt idx="15">
                  <c:v>2130.3568500000001</c:v>
                </c:pt>
                <c:pt idx="16">
                  <c:v>2152.1504</c:v>
                </c:pt>
                <c:pt idx="17">
                  <c:v>2031.5691999999999</c:v>
                </c:pt>
                <c:pt idx="18">
                  <c:v>2146.0721080228295</c:v>
                </c:pt>
                <c:pt idx="19">
                  <c:v>2282.1692499999999</c:v>
                </c:pt>
                <c:pt idx="20">
                  <c:v>2153.52</c:v>
                </c:pt>
                <c:pt idx="21">
                  <c:v>2176.6504</c:v>
                </c:pt>
                <c:pt idx="22">
                  <c:v>2224.8580499999998</c:v>
                </c:pt>
                <c:pt idx="23">
                  <c:v>2322.3676500000001</c:v>
                </c:pt>
                <c:pt idx="24">
                  <c:v>2272.7685000000001</c:v>
                </c:pt>
                <c:pt idx="25">
                  <c:v>2255.5496000000003</c:v>
                </c:pt>
                <c:pt idx="26">
                  <c:v>2583.9250149999998</c:v>
                </c:pt>
                <c:pt idx="27">
                  <c:v>2408.2609600000001</c:v>
                </c:pt>
                <c:pt idx="28">
                  <c:v>2730.3540000000003</c:v>
                </c:pt>
                <c:pt idx="29">
                  <c:v>2958.5645750000003</c:v>
                </c:pt>
                <c:pt idx="30">
                  <c:v>2860.0665599999998</c:v>
                </c:pt>
                <c:pt idx="31">
                  <c:v>2863.8210800000002</c:v>
                </c:pt>
              </c:numCache>
            </c:numRef>
          </c:val>
          <c:smooth val="0"/>
          <c:extLst>
            <c:ext xmlns:c16="http://schemas.microsoft.com/office/drawing/2014/chart" uri="{C3380CC4-5D6E-409C-BE32-E72D297353CC}">
              <c16:uniqueId val="{00000007-BA52-4D6E-968A-633D974201DA}"/>
            </c:ext>
          </c:extLst>
        </c:ser>
        <c:dLbls>
          <c:showLegendKey val="0"/>
          <c:showVal val="0"/>
          <c:showCatName val="0"/>
          <c:showSerName val="0"/>
          <c:showPercent val="0"/>
          <c:showBubbleSize val="0"/>
        </c:dLbls>
        <c:marker val="1"/>
        <c:smooth val="0"/>
        <c:axId val="1212448767"/>
        <c:axId val="1212456383"/>
      </c:lineChart>
      <c:catAx>
        <c:axId val="122451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10079"/>
        <c:crosses val="autoZero"/>
        <c:auto val="1"/>
        <c:lblAlgn val="ctr"/>
        <c:lblOffset val="100"/>
        <c:noMultiLvlLbl val="0"/>
      </c:catAx>
      <c:valAx>
        <c:axId val="12245100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17695"/>
        <c:crosses val="autoZero"/>
        <c:crossBetween val="between"/>
      </c:valAx>
      <c:valAx>
        <c:axId val="1212456383"/>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48767"/>
        <c:crosses val="max"/>
        <c:crossBetween val="between"/>
      </c:valAx>
      <c:catAx>
        <c:axId val="1212448767"/>
        <c:scaling>
          <c:orientation val="minMax"/>
        </c:scaling>
        <c:delete val="1"/>
        <c:axPos val="b"/>
        <c:numFmt formatCode="General" sourceLinked="1"/>
        <c:majorTickMark val="out"/>
        <c:minorTickMark val="none"/>
        <c:tickLblPos val="nextTo"/>
        <c:crossAx val="12124563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846669</xdr:colOff>
      <xdr:row>268</xdr:row>
      <xdr:rowOff>95955</xdr:rowOff>
    </xdr:from>
    <xdr:to>
      <xdr:col>36</xdr:col>
      <xdr:colOff>1052287</xdr:colOff>
      <xdr:row>298</xdr:row>
      <xdr:rowOff>181428</xdr:rowOff>
    </xdr:to>
    <xdr:graphicFrame macro="">
      <xdr:nvGraphicFramePr>
        <xdr:cNvPr id="2" name="Chart 1">
          <a:extLst>
            <a:ext uri="{FF2B5EF4-FFF2-40B4-BE49-F238E27FC236}">
              <a16:creationId xmlns:a16="http://schemas.microsoft.com/office/drawing/2014/main" id="{DD3A8922-CA88-490C-8449-6314E9F42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docs.live.net/517dc49250f45e7e/Desktop/SCTP%20-APC%20Data%20Analytics/PACE-SCTP-DA-02-Analysing%20and%20Interpreting%20Data%20(M3)/Assignment/Assignment%203/2.%20Worked%20Out%20Solution%20-%20Time%20Series%20(3%20Companies)%20vJAN%2026%20(updated%20MAR%2026)xlsx.xlsx" TargetMode="External"/><Relationship Id="rId2" Type="http://schemas.microsoft.com/office/2019/04/relationships/externalLinkLongPath" Target="/517dc49250f45e7e/Desktop/SCTP%20-APC%20Data%20Analytics/PACE-SCTP-DA-02-Analysing%20and%20Interpreting%20Data%20(M3)/Assignment/Assignment%203/2.%20Worked%20Out%20Solution%20-%20Time%20Series%20(3%20Companies)%20vJAN%2026%20(updated%20MAR%2026)xlsx.xlsx?3383BAC4" TargetMode="External"/><Relationship Id="rId1" Type="http://schemas.openxmlformats.org/officeDocument/2006/relationships/externalLinkPath" Target="file:///\\3383BAC4\2.%20Worked%20Out%20Solution%20-%20Time%20Series%20(3%20Companies)%20vJAN%2026%20(updated%20MAR%2026)xls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Time Series (AMAZON)"/>
      <sheetName val="Time Series (NIKE)"/>
      <sheetName val="Time Series (APPLE)"/>
      <sheetName val="Time Series (STARBUCKS)"/>
    </sheetNames>
    <sheetDataSet>
      <sheetData sheetId="0"/>
      <sheetData sheetId="1"/>
      <sheetData sheetId="2"/>
      <sheetData sheetId="3">
        <row r="269">
          <cell r="O269" t="str">
            <v>Pre-Pandemic</v>
          </cell>
          <cell r="P269" t="str">
            <v>Pandemic</v>
          </cell>
          <cell r="Q269" t="str">
            <v>Post-Pandemic</v>
          </cell>
          <cell r="R269" t="str">
            <v>LUCKIN (US$)</v>
          </cell>
          <cell r="S269" t="str">
            <v>McDONALDS</v>
          </cell>
          <cell r="T269" t="str">
            <v>REST BRANDS</v>
          </cell>
          <cell r="U269" t="str">
            <v>YUM BRANDS</v>
          </cell>
          <cell r="V269" t="str">
            <v>OTHERS - JDE PEETS (EUR)</v>
          </cell>
        </row>
        <row r="270">
          <cell r="M270" t="str">
            <v>2018</v>
          </cell>
          <cell r="N270" t="str">
            <v>Q1</v>
          </cell>
          <cell r="O270">
            <v>6031.8</v>
          </cell>
          <cell r="R270">
            <v>0</v>
          </cell>
          <cell r="S270">
            <v>5139</v>
          </cell>
          <cell r="T270">
            <v>1254</v>
          </cell>
          <cell r="U270">
            <v>1371</v>
          </cell>
          <cell r="V270">
            <v>948.40899999999999</v>
          </cell>
        </row>
        <row r="271">
          <cell r="M271" t="str">
            <v>2018</v>
          </cell>
          <cell r="N271" t="str">
            <v>Q2</v>
          </cell>
          <cell r="O271">
            <v>6310.3</v>
          </cell>
          <cell r="R271">
            <v>0</v>
          </cell>
          <cell r="S271">
            <v>5354</v>
          </cell>
          <cell r="T271">
            <v>1343</v>
          </cell>
          <cell r="U271">
            <v>1368</v>
          </cell>
          <cell r="V271">
            <v>899.66800000000012</v>
          </cell>
        </row>
        <row r="272">
          <cell r="M272" t="str">
            <v>2018</v>
          </cell>
          <cell r="N272" t="str">
            <v>Q3</v>
          </cell>
          <cell r="O272">
            <v>6303.6</v>
          </cell>
          <cell r="R272">
            <v>0</v>
          </cell>
          <cell r="S272">
            <v>5369</v>
          </cell>
          <cell r="T272">
            <v>1375</v>
          </cell>
          <cell r="U272">
            <v>1391</v>
          </cell>
          <cell r="V272">
            <v>962.79984999999988</v>
          </cell>
        </row>
        <row r="273">
          <cell r="M273" t="str">
            <v>2018</v>
          </cell>
          <cell r="N273" t="str">
            <v>Q4</v>
          </cell>
          <cell r="O273">
            <v>6632.7</v>
          </cell>
          <cell r="R273">
            <v>67.667849146579044</v>
          </cell>
          <cell r="S273">
            <v>5163</v>
          </cell>
          <cell r="T273">
            <v>1384.5</v>
          </cell>
          <cell r="U273">
            <v>1558</v>
          </cell>
          <cell r="V273">
            <v>944.15859999999998</v>
          </cell>
        </row>
        <row r="274">
          <cell r="M274" t="str">
            <v>2019</v>
          </cell>
          <cell r="N274" t="str">
            <v>Q1</v>
          </cell>
          <cell r="O274">
            <v>6305.9</v>
          </cell>
          <cell r="R274">
            <v>71.290654191683714</v>
          </cell>
          <cell r="S274">
            <v>4955.6000000000004</v>
          </cell>
          <cell r="T274">
            <v>1266</v>
          </cell>
          <cell r="U274">
            <v>1254</v>
          </cell>
          <cell r="V274">
            <v>1871.2511999999999</v>
          </cell>
        </row>
        <row r="275">
          <cell r="M275" t="str">
            <v>2019</v>
          </cell>
          <cell r="N275" t="str">
            <v>Q2</v>
          </cell>
          <cell r="O275">
            <v>6823</v>
          </cell>
          <cell r="R275">
            <v>95.152618395759305</v>
          </cell>
          <cell r="S275">
            <v>5341.3</v>
          </cell>
          <cell r="T275">
            <v>1400</v>
          </cell>
          <cell r="U275">
            <v>1310</v>
          </cell>
          <cell r="V275">
            <v>1897.4074000000001</v>
          </cell>
        </row>
        <row r="276">
          <cell r="M276" t="str">
            <v>2019</v>
          </cell>
          <cell r="N276" t="str">
            <v>Q3</v>
          </cell>
          <cell r="O276">
            <v>6747</v>
          </cell>
          <cell r="R276">
            <v>118.37493682259785</v>
          </cell>
          <cell r="S276">
            <v>5430.6</v>
          </cell>
          <cell r="T276">
            <v>1458</v>
          </cell>
          <cell r="U276">
            <v>1339</v>
          </cell>
          <cell r="V276">
            <v>1983.5370000000003</v>
          </cell>
        </row>
        <row r="277">
          <cell r="M277" t="str">
            <v>2019</v>
          </cell>
          <cell r="N277" t="str">
            <v>Q4</v>
          </cell>
          <cell r="O277">
            <v>7097.1</v>
          </cell>
          <cell r="P277">
            <v>7097.1</v>
          </cell>
          <cell r="R277">
            <v>150.72414040628814</v>
          </cell>
          <cell r="S277">
            <v>5349</v>
          </cell>
          <cell r="T277">
            <v>1479</v>
          </cell>
          <cell r="U277">
            <v>1694</v>
          </cell>
          <cell r="V277">
            <v>2016.0540000000001</v>
          </cell>
        </row>
        <row r="278">
          <cell r="M278" t="str">
            <v>2020</v>
          </cell>
          <cell r="N278" t="str">
            <v>Q1</v>
          </cell>
          <cell r="P278">
            <v>5995.7</v>
          </cell>
          <cell r="R278">
            <v>108.88689141745273</v>
          </cell>
          <cell r="S278">
            <v>4714.3999999999996</v>
          </cell>
          <cell r="T278">
            <v>1225</v>
          </cell>
          <cell r="U278">
            <v>1263</v>
          </cell>
          <cell r="V278">
            <v>1748.249</v>
          </cell>
        </row>
        <row r="279">
          <cell r="M279" t="str">
            <v>2020</v>
          </cell>
          <cell r="N279" t="str">
            <v>Q2</v>
          </cell>
          <cell r="P279">
            <v>4222.1000000000004</v>
          </cell>
          <cell r="R279">
            <v>109.28598720706442</v>
          </cell>
          <cell r="S279">
            <v>3761.5</v>
          </cell>
          <cell r="T279">
            <v>1048</v>
          </cell>
          <cell r="U279">
            <v>1198</v>
          </cell>
          <cell r="V279">
            <v>1819.441</v>
          </cell>
        </row>
        <row r="280">
          <cell r="M280" t="str">
            <v>2020</v>
          </cell>
          <cell r="N280" t="str">
            <v>Q3</v>
          </cell>
          <cell r="P280">
            <v>6203.1</v>
          </cell>
          <cell r="R280">
            <v>168.31686521668703</v>
          </cell>
          <cell r="S280">
            <v>5418.1</v>
          </cell>
          <cell r="T280">
            <v>1337</v>
          </cell>
          <cell r="U280">
            <v>1448</v>
          </cell>
          <cell r="V280">
            <v>2000.6777499999998</v>
          </cell>
        </row>
        <row r="281">
          <cell r="M281" t="str">
            <v>2020</v>
          </cell>
          <cell r="N281" t="str">
            <v>Q4</v>
          </cell>
          <cell r="P281">
            <v>6749.4</v>
          </cell>
          <cell r="Q281">
            <v>6749.4</v>
          </cell>
          <cell r="R281">
            <v>206.01224552273072</v>
          </cell>
          <cell r="S281">
            <v>5313.8</v>
          </cell>
          <cell r="T281">
            <v>1358</v>
          </cell>
          <cell r="U281">
            <v>1743</v>
          </cell>
          <cell r="V281">
            <v>2072.05125</v>
          </cell>
        </row>
        <row r="282">
          <cell r="M282" t="str">
            <v>2021</v>
          </cell>
          <cell r="N282" t="str">
            <v>Q1</v>
          </cell>
          <cell r="Q282">
            <v>6668</v>
          </cell>
          <cell r="R282">
            <v>193.17898743814237</v>
          </cell>
          <cell r="S282">
            <v>5124.6000000000004</v>
          </cell>
          <cell r="T282">
            <v>1260</v>
          </cell>
          <cell r="U282">
            <v>1486</v>
          </cell>
          <cell r="V282">
            <v>1913.1893</v>
          </cell>
        </row>
        <row r="283">
          <cell r="M283" t="str">
            <v>2021</v>
          </cell>
          <cell r="N283" t="str">
            <v>Q2</v>
          </cell>
          <cell r="Q283">
            <v>7496.5</v>
          </cell>
          <cell r="R283">
            <v>295.65085740769354</v>
          </cell>
          <cell r="S283">
            <v>5887.9</v>
          </cell>
          <cell r="T283">
            <v>1438</v>
          </cell>
          <cell r="U283">
            <v>1602</v>
          </cell>
          <cell r="V283">
            <v>1930.4355000000003</v>
          </cell>
        </row>
        <row r="284">
          <cell r="M284" t="str">
            <v>2021</v>
          </cell>
          <cell r="N284" t="str">
            <v>Q3</v>
          </cell>
          <cell r="Q284">
            <v>8146.7</v>
          </cell>
          <cell r="R284">
            <v>364.55985232754745</v>
          </cell>
          <cell r="S284">
            <v>6201.3</v>
          </cell>
          <cell r="T284">
            <v>1495</v>
          </cell>
          <cell r="U284">
            <v>1606</v>
          </cell>
          <cell r="V284">
            <v>2172.3232499999999</v>
          </cell>
        </row>
        <row r="285">
          <cell r="M285" t="str">
            <v>2021</v>
          </cell>
          <cell r="N285" t="str">
            <v>Q4</v>
          </cell>
          <cell r="Q285">
            <v>8050.4</v>
          </cell>
          <cell r="R285">
            <v>382.74107522144783</v>
          </cell>
          <cell r="S285">
            <v>6009.1</v>
          </cell>
          <cell r="T285">
            <v>1546</v>
          </cell>
          <cell r="U285">
            <v>1890</v>
          </cell>
          <cell r="V285">
            <v>2130.3568500000001</v>
          </cell>
        </row>
        <row r="286">
          <cell r="M286" t="str">
            <v>2022</v>
          </cell>
          <cell r="N286" t="str">
            <v>Q1</v>
          </cell>
          <cell r="Q286">
            <v>7636</v>
          </cell>
          <cell r="R286">
            <v>377.89725133975577</v>
          </cell>
          <cell r="S286">
            <v>5665.6</v>
          </cell>
          <cell r="T286">
            <v>1451</v>
          </cell>
          <cell r="U286">
            <v>1547</v>
          </cell>
          <cell r="V286">
            <v>2152.1504</v>
          </cell>
        </row>
        <row r="287">
          <cell r="M287" t="str">
            <v>2022</v>
          </cell>
          <cell r="N287" t="str">
            <v>Q2</v>
          </cell>
          <cell r="Q287">
            <v>8150.1</v>
          </cell>
          <cell r="R287">
            <v>492.27383972541406</v>
          </cell>
          <cell r="S287">
            <v>5718.4</v>
          </cell>
          <cell r="T287">
            <v>1639</v>
          </cell>
          <cell r="U287">
            <v>1636</v>
          </cell>
          <cell r="V287">
            <v>2031.5691999999999</v>
          </cell>
        </row>
        <row r="288">
          <cell r="M288" t="str">
            <v>2022</v>
          </cell>
          <cell r="N288" t="str">
            <v>Q3</v>
          </cell>
          <cell r="Q288">
            <v>8414.2000000000007</v>
          </cell>
          <cell r="R288">
            <v>546.02894859999992</v>
          </cell>
          <cell r="S288">
            <v>5872.1</v>
          </cell>
          <cell r="T288">
            <v>1726</v>
          </cell>
          <cell r="U288">
            <v>1640</v>
          </cell>
          <cell r="V288">
            <v>2146.0721080228295</v>
          </cell>
        </row>
        <row r="289">
          <cell r="M289" t="str">
            <v>2022</v>
          </cell>
          <cell r="N289" t="str">
            <v>Q4</v>
          </cell>
          <cell r="Q289">
            <v>8714</v>
          </cell>
          <cell r="R289">
            <v>534.36922966600002</v>
          </cell>
          <cell r="S289">
            <v>5927</v>
          </cell>
          <cell r="T289">
            <v>1689</v>
          </cell>
          <cell r="U289">
            <v>2019</v>
          </cell>
          <cell r="V289">
            <v>2282.1692499999999</v>
          </cell>
        </row>
        <row r="290">
          <cell r="M290" t="str">
            <v>2023</v>
          </cell>
          <cell r="N290" t="str">
            <v>Q1</v>
          </cell>
          <cell r="Q290">
            <v>8719.7999999999993</v>
          </cell>
          <cell r="R290">
            <v>665.50905</v>
          </cell>
          <cell r="S290">
            <v>5897.8</v>
          </cell>
          <cell r="T290">
            <v>1590</v>
          </cell>
          <cell r="U290">
            <v>1645</v>
          </cell>
          <cell r="V290">
            <v>2153.52</v>
          </cell>
        </row>
        <row r="291">
          <cell r="M291">
            <v>2023</v>
          </cell>
          <cell r="N291" t="str">
            <v>Q2</v>
          </cell>
          <cell r="Q291">
            <v>9168.2999999999993</v>
          </cell>
          <cell r="R291">
            <v>868.20006000000012</v>
          </cell>
          <cell r="S291">
            <v>6497.5</v>
          </cell>
          <cell r="T291">
            <v>1775</v>
          </cell>
          <cell r="U291">
            <v>1687</v>
          </cell>
          <cell r="V291">
            <v>2176.6504</v>
          </cell>
        </row>
        <row r="292">
          <cell r="M292">
            <v>2023</v>
          </cell>
          <cell r="N292" t="str">
            <v>Q3</v>
          </cell>
          <cell r="Q292">
            <v>9373.6</v>
          </cell>
          <cell r="R292">
            <v>984.24533129999986</v>
          </cell>
          <cell r="S292">
            <v>6692.2</v>
          </cell>
          <cell r="T292">
            <v>1837</v>
          </cell>
          <cell r="U292">
            <v>1708</v>
          </cell>
          <cell r="V292">
            <v>2224.8580499999998</v>
          </cell>
        </row>
        <row r="293">
          <cell r="M293">
            <v>2023</v>
          </cell>
          <cell r="N293" t="str">
            <v>Q4</v>
          </cell>
          <cell r="Q293">
            <v>9425.2999999999993</v>
          </cell>
          <cell r="R293">
            <v>996.05493643499995</v>
          </cell>
          <cell r="S293">
            <v>6406.2</v>
          </cell>
          <cell r="T293">
            <v>1820</v>
          </cell>
          <cell r="U293">
            <v>2036</v>
          </cell>
          <cell r="V293">
            <v>2322.3676500000001</v>
          </cell>
        </row>
        <row r="294">
          <cell r="M294">
            <v>2024</v>
          </cell>
          <cell r="N294" t="str">
            <v>Q1</v>
          </cell>
          <cell r="Q294">
            <v>8563</v>
          </cell>
          <cell r="R294">
            <v>869.51652735700009</v>
          </cell>
          <cell r="S294">
            <v>6169</v>
          </cell>
          <cell r="T294">
            <v>1739</v>
          </cell>
          <cell r="U294">
            <v>1598</v>
          </cell>
          <cell r="V294">
            <v>2272.7685000000001</v>
          </cell>
        </row>
        <row r="295">
          <cell r="M295">
            <v>2024</v>
          </cell>
          <cell r="N295" t="str">
            <v>Q2</v>
          </cell>
          <cell r="Q295">
            <v>9113.9</v>
          </cell>
          <cell r="R295">
            <v>1156.2268206840001</v>
          </cell>
          <cell r="S295">
            <v>6490</v>
          </cell>
          <cell r="T295">
            <v>2080</v>
          </cell>
          <cell r="U295">
            <v>1763</v>
          </cell>
          <cell r="V295">
            <v>2255.5496000000003</v>
          </cell>
        </row>
        <row r="296">
          <cell r="M296">
            <v>2024</v>
          </cell>
          <cell r="N296" t="str">
            <v>Q3</v>
          </cell>
          <cell r="Q296">
            <v>9074</v>
          </cell>
          <cell r="R296">
            <v>1452.103016112</v>
          </cell>
          <cell r="S296">
            <v>6874</v>
          </cell>
          <cell r="T296">
            <v>2291</v>
          </cell>
          <cell r="U296">
            <v>1826</v>
          </cell>
          <cell r="V296">
            <v>2583.9250149999998</v>
          </cell>
        </row>
        <row r="297">
          <cell r="M297">
            <v>2024</v>
          </cell>
          <cell r="N297" t="str">
            <v>Q4</v>
          </cell>
          <cell r="Q297">
            <v>9397.7999999999993</v>
          </cell>
          <cell r="R297">
            <v>1317.018949</v>
          </cell>
          <cell r="S297">
            <v>6388</v>
          </cell>
          <cell r="T297">
            <v>2296</v>
          </cell>
          <cell r="U297">
            <v>2362</v>
          </cell>
          <cell r="V297">
            <v>2408.2609600000001</v>
          </cell>
        </row>
        <row r="298">
          <cell r="M298">
            <v>2025</v>
          </cell>
          <cell r="N298" t="str">
            <v>Q1</v>
          </cell>
          <cell r="Q298">
            <v>8761.6</v>
          </cell>
          <cell r="R298">
            <v>1220.669575179</v>
          </cell>
          <cell r="S298">
            <v>5956</v>
          </cell>
          <cell r="T298">
            <v>2109</v>
          </cell>
          <cell r="U298">
            <v>1787</v>
          </cell>
          <cell r="V298">
            <v>2730.3540000000003</v>
          </cell>
        </row>
        <row r="299">
          <cell r="M299">
            <v>2025</v>
          </cell>
          <cell r="N299" t="str">
            <v>Q2</v>
          </cell>
          <cell r="Q299">
            <v>9456</v>
          </cell>
          <cell r="R299">
            <v>1724.87226558</v>
          </cell>
          <cell r="S299">
            <v>6843</v>
          </cell>
          <cell r="T299">
            <v>2410</v>
          </cell>
          <cell r="U299">
            <v>1933</v>
          </cell>
          <cell r="V299">
            <v>2958.5645750000003</v>
          </cell>
        </row>
        <row r="300">
          <cell r="M300">
            <v>2025</v>
          </cell>
          <cell r="N300" t="str">
            <v>Q3</v>
          </cell>
          <cell r="Q300">
            <v>9569</v>
          </cell>
          <cell r="R300">
            <v>2146.86057996</v>
          </cell>
          <cell r="S300">
            <v>7078</v>
          </cell>
          <cell r="T300">
            <v>2449</v>
          </cell>
          <cell r="U300">
            <v>1979</v>
          </cell>
          <cell r="V300">
            <v>2860.0665599999998</v>
          </cell>
        </row>
        <row r="301">
          <cell r="M301">
            <v>2025</v>
          </cell>
          <cell r="N301" t="str">
            <v>Q4</v>
          </cell>
          <cell r="Q301">
            <v>9915.1</v>
          </cell>
          <cell r="R301">
            <v>1820.8515969600001</v>
          </cell>
          <cell r="S301">
            <v>7009</v>
          </cell>
          <cell r="T301">
            <v>2466</v>
          </cell>
          <cell r="U301">
            <v>2515</v>
          </cell>
          <cell r="V301">
            <v>2863.8210800000002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E8E9-238B-4E8E-AF42-6471D680ED91}">
  <sheetPr>
    <tabColor theme="9" tint="0.59999389629810485"/>
  </sheetPr>
  <dimension ref="A1:DC322"/>
  <sheetViews>
    <sheetView tabSelected="1" zoomScale="80" zoomScaleNormal="80" workbookViewId="0">
      <pane xSplit="2" ySplit="1" topLeftCell="K265" activePane="bottomRight" state="frozen"/>
      <selection pane="topRight" activeCell="C1" sqref="C1"/>
      <selection pane="bottomLeft" activeCell="A2" sqref="A2"/>
      <selection pane="bottomRight" activeCell="U305" sqref="U305"/>
    </sheetView>
  </sheetViews>
  <sheetFormatPr defaultColWidth="11.19921875" defaultRowHeight="15.6" x14ac:dyDescent="0.3"/>
  <cols>
    <col min="1" max="1" width="17" style="6" bestFit="1" customWidth="1"/>
    <col min="2" max="2" width="25.796875" style="6" bestFit="1" customWidth="1"/>
    <col min="3" max="3" width="11.19921875" style="6" bestFit="1" customWidth="1"/>
    <col min="4" max="6" width="11.19921875" style="6"/>
    <col min="7" max="8" width="10.69921875" style="6" customWidth="1"/>
    <col min="9" max="9" width="12.19921875" style="6" customWidth="1"/>
    <col min="10" max="11" width="11.19921875" style="6"/>
    <col min="12" max="12" width="19" style="6" customWidth="1"/>
    <col min="13" max="13" width="11.796875" style="6" bestFit="1" customWidth="1"/>
    <col min="14" max="15" width="11.69921875" style="6" bestFit="1" customWidth="1"/>
    <col min="16" max="16" width="11.796875" style="6" bestFit="1" customWidth="1"/>
    <col min="17" max="17" width="14.5" style="6" customWidth="1"/>
    <col min="18" max="18" width="12.5" style="6" bestFit="1" customWidth="1"/>
    <col min="19" max="19" width="13.19921875" style="6" bestFit="1" customWidth="1"/>
    <col min="20" max="20" width="15.796875" style="6" customWidth="1"/>
    <col min="21" max="21" width="15" style="6" customWidth="1"/>
    <col min="22" max="22" width="14.5" style="6" customWidth="1"/>
    <col min="23" max="23" width="11.69921875" style="6" bestFit="1" customWidth="1"/>
    <col min="24" max="24" width="11.5" style="6" bestFit="1" customWidth="1"/>
    <col min="25" max="25" width="11.69921875" style="6" bestFit="1" customWidth="1"/>
    <col min="26" max="26" width="15.296875" style="6" customWidth="1"/>
    <col min="27" max="27" width="16.5" style="6" bestFit="1" customWidth="1"/>
    <col min="28" max="28" width="13.296875" style="6" customWidth="1"/>
    <col min="29" max="29" width="13.19921875" style="6" customWidth="1"/>
    <col min="30" max="30" width="14.296875" style="6" customWidth="1"/>
    <col min="31" max="31" width="12.296875" style="6" customWidth="1"/>
    <col min="32" max="32" width="11.796875" style="6" bestFit="1" customWidth="1"/>
    <col min="33" max="33" width="11.796875" style="6" customWidth="1"/>
    <col min="34" max="34" width="11.796875" style="7" customWidth="1"/>
    <col min="35" max="36" width="11.796875" style="6" bestFit="1" customWidth="1"/>
    <col min="37" max="37" width="14.5" style="6" customWidth="1"/>
    <col min="38" max="38" width="11.69921875" style="6" bestFit="1" customWidth="1"/>
    <col min="39" max="39" width="12.5" style="6" bestFit="1" customWidth="1"/>
    <col min="40" max="40" width="11.69921875" style="6" bestFit="1" customWidth="1"/>
    <col min="41" max="41" width="11.796875" style="6" bestFit="1" customWidth="1"/>
    <col min="42" max="43" width="11.69921875" bestFit="1" customWidth="1"/>
    <col min="44" max="44" width="12.5" customWidth="1"/>
    <col min="45" max="45" width="11.796875" customWidth="1"/>
    <col min="46" max="46" width="11.796875" bestFit="1" customWidth="1"/>
    <col min="47" max="47" width="13.296875" customWidth="1"/>
    <col min="50" max="50" width="17.5" bestFit="1" customWidth="1"/>
    <col min="51" max="51" width="13.69921875" customWidth="1"/>
    <col min="52" max="52" width="12.5" customWidth="1"/>
    <col min="53" max="53" width="16.5" style="4" customWidth="1"/>
    <col min="54" max="54" width="14" style="4" customWidth="1"/>
    <col min="55" max="55" width="13" style="4" customWidth="1"/>
    <col min="56" max="56" width="12" style="4" customWidth="1"/>
    <col min="57" max="57" width="12.796875" style="4" bestFit="1" customWidth="1"/>
    <col min="58" max="58" width="11.19921875" style="4"/>
    <col min="61" max="61" width="13.19921875" bestFit="1" customWidth="1"/>
    <col min="62" max="63" width="11.296875" customWidth="1"/>
    <col min="65" max="65" width="13.19921875" bestFit="1" customWidth="1"/>
    <col min="66" max="66" width="12.5" bestFit="1" customWidth="1"/>
    <col min="71" max="71" width="15.796875" customWidth="1"/>
    <col min="82" max="82" width="13.69921875" customWidth="1"/>
    <col min="83" max="83" width="13.5" customWidth="1"/>
    <col min="84" max="84" width="15.5" customWidth="1"/>
    <col min="87" max="87" width="11.19921875" customWidth="1"/>
    <col min="88" max="88" width="12" customWidth="1"/>
    <col min="89" max="89" width="11.5" customWidth="1"/>
    <col min="90" max="90" width="16.19921875" customWidth="1"/>
    <col min="92" max="92" width="15.69921875" bestFit="1" customWidth="1"/>
  </cols>
  <sheetData>
    <row r="1" spans="1:66" s="4" customFormat="1" x14ac:dyDescent="0.3">
      <c r="A1" s="1" t="s">
        <v>0</v>
      </c>
      <c r="B1" s="2"/>
      <c r="C1" s="2"/>
      <c r="D1" s="2"/>
      <c r="E1" s="2"/>
      <c r="F1" s="2"/>
      <c r="G1" s="2"/>
      <c r="H1" s="2"/>
      <c r="I1" s="2"/>
      <c r="J1" s="2"/>
      <c r="K1" s="2"/>
      <c r="L1" s="2"/>
      <c r="M1" s="2"/>
      <c r="N1" s="2"/>
      <c r="O1" s="3"/>
      <c r="P1" s="3" t="s">
        <v>1</v>
      </c>
      <c r="Q1" s="3" t="s">
        <v>2</v>
      </c>
      <c r="R1" s="3" t="s">
        <v>3</v>
      </c>
      <c r="S1" s="3" t="s">
        <v>4</v>
      </c>
      <c r="T1" s="3" t="s">
        <v>1</v>
      </c>
      <c r="U1" s="3" t="s">
        <v>2</v>
      </c>
      <c r="V1" s="3" t="s">
        <v>3</v>
      </c>
      <c r="W1" s="3" t="s">
        <v>4</v>
      </c>
      <c r="X1" s="3" t="s">
        <v>1</v>
      </c>
      <c r="Y1" s="3" t="s">
        <v>2</v>
      </c>
      <c r="Z1" s="3" t="s">
        <v>3</v>
      </c>
      <c r="AA1" s="3" t="s">
        <v>4</v>
      </c>
      <c r="AB1" s="3" t="s">
        <v>1</v>
      </c>
      <c r="AC1" s="3" t="s">
        <v>2</v>
      </c>
      <c r="AD1" s="3" t="s">
        <v>3</v>
      </c>
      <c r="AE1" s="3" t="s">
        <v>4</v>
      </c>
      <c r="AF1" s="3" t="s">
        <v>1</v>
      </c>
      <c r="AG1" s="3" t="s">
        <v>2</v>
      </c>
      <c r="AH1" s="3" t="s">
        <v>3</v>
      </c>
      <c r="AI1" s="3" t="s">
        <v>4</v>
      </c>
      <c r="AJ1" s="3" t="s">
        <v>1</v>
      </c>
      <c r="AK1" s="3" t="s">
        <v>2</v>
      </c>
      <c r="AL1" s="3" t="s">
        <v>3</v>
      </c>
      <c r="AM1" s="3" t="s">
        <v>4</v>
      </c>
      <c r="AN1" s="3" t="s">
        <v>1</v>
      </c>
      <c r="AO1" s="3" t="s">
        <v>2</v>
      </c>
      <c r="AP1" s="3" t="s">
        <v>3</v>
      </c>
      <c r="AQ1" s="3" t="s">
        <v>4</v>
      </c>
      <c r="AR1" s="3" t="s">
        <v>1</v>
      </c>
      <c r="AS1" s="3" t="s">
        <v>2</v>
      </c>
      <c r="AT1" s="3" t="s">
        <v>3</v>
      </c>
      <c r="AU1" s="3" t="s">
        <v>4</v>
      </c>
      <c r="BA1" s="5" t="s">
        <v>5</v>
      </c>
    </row>
    <row r="2" spans="1:66" x14ac:dyDescent="0.3">
      <c r="AH2" s="6"/>
      <c r="AL2" s="7"/>
      <c r="AP2" s="6"/>
      <c r="AQ2" s="6"/>
    </row>
    <row r="3" spans="1:66" s="2" customFormat="1" ht="18" customHeight="1" x14ac:dyDescent="0.3">
      <c r="A3" s="8" t="s">
        <v>6</v>
      </c>
      <c r="C3" s="9">
        <v>2018</v>
      </c>
      <c r="D3" s="9">
        <v>2019</v>
      </c>
      <c r="E3" s="9">
        <v>2020</v>
      </c>
      <c r="F3" s="10">
        <v>2021</v>
      </c>
      <c r="G3" s="11">
        <v>2022</v>
      </c>
      <c r="H3" s="12">
        <v>2023</v>
      </c>
      <c r="I3" s="13">
        <v>2024</v>
      </c>
      <c r="J3" s="14">
        <v>2025</v>
      </c>
      <c r="K3" s="15" t="s">
        <v>7</v>
      </c>
      <c r="L3" s="16" t="s">
        <v>8</v>
      </c>
      <c r="M3" s="17"/>
      <c r="N3" s="8" t="s">
        <v>6</v>
      </c>
      <c r="P3" s="18" t="s">
        <v>9</v>
      </c>
      <c r="Q3" s="18" t="s">
        <v>10</v>
      </c>
      <c r="R3" s="19" t="s">
        <v>11</v>
      </c>
      <c r="S3" s="18" t="s">
        <v>12</v>
      </c>
      <c r="T3" s="18" t="s">
        <v>13</v>
      </c>
      <c r="U3" s="18" t="s">
        <v>14</v>
      </c>
      <c r="V3" s="19" t="s">
        <v>15</v>
      </c>
      <c r="W3" s="18" t="s">
        <v>16</v>
      </c>
      <c r="X3" s="18" t="s">
        <v>17</v>
      </c>
      <c r="Y3" s="18" t="s">
        <v>18</v>
      </c>
      <c r="Z3" s="19" t="s">
        <v>19</v>
      </c>
      <c r="AA3" s="18" t="s">
        <v>20</v>
      </c>
      <c r="AB3" s="18" t="s">
        <v>21</v>
      </c>
      <c r="AC3" s="18" t="s">
        <v>22</v>
      </c>
      <c r="AD3" s="19" t="s">
        <v>23</v>
      </c>
      <c r="AE3" s="18" t="s">
        <v>24</v>
      </c>
      <c r="AF3" s="18" t="s">
        <v>25</v>
      </c>
      <c r="AG3" s="18" t="s">
        <v>26</v>
      </c>
      <c r="AH3" s="19" t="s">
        <v>27</v>
      </c>
      <c r="AI3" s="18" t="s">
        <v>28</v>
      </c>
      <c r="AJ3" s="20" t="s">
        <v>29</v>
      </c>
      <c r="AK3" s="18" t="s">
        <v>30</v>
      </c>
      <c r="AL3" s="19" t="s">
        <v>31</v>
      </c>
      <c r="AM3" s="18" t="s">
        <v>32</v>
      </c>
      <c r="AN3" s="20" t="s">
        <v>33</v>
      </c>
      <c r="AO3" s="18" t="s">
        <v>34</v>
      </c>
      <c r="AP3" s="19" t="s">
        <v>35</v>
      </c>
      <c r="AQ3" s="18" t="s">
        <v>36</v>
      </c>
      <c r="AR3" s="20" t="s">
        <v>37</v>
      </c>
      <c r="AS3" s="18" t="s">
        <v>38</v>
      </c>
      <c r="AT3" s="19" t="s">
        <v>39</v>
      </c>
      <c r="AU3" s="18" t="s">
        <v>40</v>
      </c>
      <c r="AV3" s="19"/>
      <c r="AW3" s="18"/>
      <c r="AX3" s="21"/>
      <c r="AY3" s="9"/>
      <c r="AZ3" s="9"/>
      <c r="BB3" s="18" t="s">
        <v>38</v>
      </c>
      <c r="BC3" s="19" t="s">
        <v>39</v>
      </c>
      <c r="BD3" s="18" t="s">
        <v>40</v>
      </c>
      <c r="BI3" s="22"/>
      <c r="BL3" s="23"/>
      <c r="BN3" s="24"/>
    </row>
    <row r="4" spans="1:66" s="2" customFormat="1" ht="18" customHeight="1" x14ac:dyDescent="0.3">
      <c r="A4" s="25" t="s">
        <v>41</v>
      </c>
      <c r="B4" s="2" t="s">
        <v>42</v>
      </c>
      <c r="C4" s="26">
        <v>24719.5</v>
      </c>
      <c r="D4" s="26">
        <v>26508.6</v>
      </c>
      <c r="E4" s="26">
        <v>23518</v>
      </c>
      <c r="F4" s="27">
        <v>29060.600000000002</v>
      </c>
      <c r="G4" s="28">
        <v>32250.3</v>
      </c>
      <c r="H4" s="28">
        <v>35975.599999999999</v>
      </c>
      <c r="I4" s="28">
        <v>36176.199999999997</v>
      </c>
      <c r="J4" s="28">
        <v>37184.400000000001</v>
      </c>
      <c r="K4" s="29">
        <v>37701.699999999997</v>
      </c>
      <c r="L4" s="27"/>
      <c r="M4" s="27"/>
      <c r="N4" s="25" t="s">
        <v>41</v>
      </c>
      <c r="O4" s="2" t="s">
        <v>42</v>
      </c>
      <c r="P4" s="30">
        <v>6031.8</v>
      </c>
      <c r="Q4" s="30">
        <v>6310.3</v>
      </c>
      <c r="R4" s="30">
        <v>6303.6</v>
      </c>
      <c r="S4" s="31">
        <v>6632.7</v>
      </c>
      <c r="T4" s="31">
        <v>6305.9</v>
      </c>
      <c r="U4" s="31">
        <v>6823</v>
      </c>
      <c r="V4" s="31">
        <v>6747</v>
      </c>
      <c r="W4" s="31">
        <v>7097.1</v>
      </c>
      <c r="X4" s="31">
        <v>5995.7</v>
      </c>
      <c r="Y4" s="31">
        <v>4222.1000000000004</v>
      </c>
      <c r="Z4" s="31">
        <v>6203.1</v>
      </c>
      <c r="AA4" s="31">
        <v>6749.4</v>
      </c>
      <c r="AB4" s="31">
        <v>6668</v>
      </c>
      <c r="AC4" s="31">
        <v>7496.5</v>
      </c>
      <c r="AD4" s="31">
        <v>8146.7</v>
      </c>
      <c r="AE4" s="31">
        <v>8050.4</v>
      </c>
      <c r="AF4" s="31">
        <v>7636</v>
      </c>
      <c r="AG4" s="31">
        <v>8150.1</v>
      </c>
      <c r="AH4" s="31">
        <v>8414.2000000000007</v>
      </c>
      <c r="AI4" s="31">
        <v>8713.9</v>
      </c>
      <c r="AJ4" s="32">
        <v>8719.7999999999993</v>
      </c>
      <c r="AK4" s="31">
        <v>9168.2999999999993</v>
      </c>
      <c r="AL4" s="31">
        <v>9373.6</v>
      </c>
      <c r="AM4" s="31">
        <v>9425.2999999999993</v>
      </c>
      <c r="AN4" s="32">
        <v>8563</v>
      </c>
      <c r="AO4" s="31">
        <v>9113.9</v>
      </c>
      <c r="AP4" s="31">
        <v>9074</v>
      </c>
      <c r="AQ4" s="31">
        <v>9397.7999999999993</v>
      </c>
      <c r="AR4" s="32">
        <v>8761.6</v>
      </c>
      <c r="AS4" s="31">
        <v>9456</v>
      </c>
      <c r="AT4" s="31">
        <v>9569</v>
      </c>
      <c r="AU4" s="31">
        <v>9915.1</v>
      </c>
      <c r="AV4" s="31"/>
      <c r="AW4" s="2" t="s">
        <v>42</v>
      </c>
      <c r="AX4" s="33" t="s">
        <v>41</v>
      </c>
      <c r="AY4" s="34"/>
      <c r="AZ4" s="34"/>
      <c r="BA4" s="2" t="s">
        <v>43</v>
      </c>
      <c r="BB4" s="35">
        <f>AS4</f>
        <v>9456</v>
      </c>
      <c r="BC4" s="35">
        <f>AT4</f>
        <v>9569</v>
      </c>
      <c r="BD4" s="35">
        <f>AU4</f>
        <v>9915.1</v>
      </c>
      <c r="BI4" s="22"/>
      <c r="BL4" s="23"/>
      <c r="BN4" s="24"/>
    </row>
    <row r="5" spans="1:66" s="2" customFormat="1" ht="18" customHeight="1" x14ac:dyDescent="0.3">
      <c r="A5" s="25" t="s">
        <v>41</v>
      </c>
      <c r="B5" s="2" t="s">
        <v>44</v>
      </c>
      <c r="C5" s="30">
        <v>7351.5793000000003</v>
      </c>
      <c r="D5" s="30">
        <v>7488.6794999999993</v>
      </c>
      <c r="E5" s="30">
        <v>5056.37</v>
      </c>
      <c r="F5" s="27">
        <v>8391.0999999999985</v>
      </c>
      <c r="G5" s="28">
        <v>8371</v>
      </c>
      <c r="H5" s="28">
        <v>9716.8999999999978</v>
      </c>
      <c r="I5" s="28">
        <v>9709.2999999999993</v>
      </c>
      <c r="J5" s="28">
        <v>8322.2000000000007</v>
      </c>
      <c r="K5" s="29">
        <v>8110.3</v>
      </c>
      <c r="L5" s="27"/>
      <c r="M5" s="27"/>
      <c r="N5" s="25" t="s">
        <v>41</v>
      </c>
      <c r="O5" s="2" t="s">
        <v>44</v>
      </c>
      <c r="P5" s="30">
        <v>3517.1000000000004</v>
      </c>
      <c r="Q5" s="30">
        <v>3756.9</v>
      </c>
      <c r="R5" s="30">
        <v>3699</v>
      </c>
      <c r="S5" s="31">
        <v>1880</v>
      </c>
      <c r="T5" s="36">
        <v>1752.5</v>
      </c>
      <c r="U5" s="36">
        <v>1995.9</v>
      </c>
      <c r="V5" s="36">
        <v>1858.8</v>
      </c>
      <c r="W5" s="36">
        <v>2039.2</v>
      </c>
      <c r="X5" s="36">
        <v>1276.5999999999999</v>
      </c>
      <c r="Y5" s="36">
        <v>200.3</v>
      </c>
      <c r="Z5" s="36">
        <v>1543.1</v>
      </c>
      <c r="AA5" s="36">
        <v>1833</v>
      </c>
      <c r="AB5" s="36">
        <v>1852.3</v>
      </c>
      <c r="AC5" s="36">
        <v>2323.6</v>
      </c>
      <c r="AD5" s="36">
        <v>2382.1999999999998</v>
      </c>
      <c r="AE5" s="36">
        <v>2123.5</v>
      </c>
      <c r="AF5" s="36">
        <v>1855</v>
      </c>
      <c r="AG5" s="36">
        <v>2234</v>
      </c>
      <c r="AH5" s="36">
        <v>2158.5</v>
      </c>
      <c r="AI5" s="36">
        <v>2109.1</v>
      </c>
      <c r="AJ5" s="37">
        <v>2282.0999999999995</v>
      </c>
      <c r="AK5" s="30">
        <v>2606.4999999999995</v>
      </c>
      <c r="AL5" s="36">
        <v>2719.2</v>
      </c>
      <c r="AM5" s="36">
        <v>2593.1999999999989</v>
      </c>
      <c r="AN5" s="37">
        <v>2190.1999999999998</v>
      </c>
      <c r="AO5" s="30">
        <v>2543.9</v>
      </c>
      <c r="AP5" s="36">
        <v>2382</v>
      </c>
      <c r="AQ5" s="36">
        <v>2301.1</v>
      </c>
      <c r="AR5" s="37">
        <v>1848</v>
      </c>
      <c r="AS5" s="30">
        <v>2155.6999999999998</v>
      </c>
      <c r="AT5" s="36">
        <v>2017.4</v>
      </c>
      <c r="AU5" s="36">
        <v>2089.1999999999998</v>
      </c>
      <c r="AV5" s="36"/>
      <c r="AW5" s="2" t="s">
        <v>44</v>
      </c>
      <c r="AX5" s="33" t="s">
        <v>41</v>
      </c>
      <c r="AY5" s="34"/>
      <c r="AZ5" s="34"/>
      <c r="BA5" s="33" t="s">
        <v>45</v>
      </c>
      <c r="BB5" s="35">
        <f t="shared" ref="BB5:BD7" si="0">AS23</f>
        <v>7812.5</v>
      </c>
      <c r="BC5" s="35">
        <f t="shared" si="0"/>
        <v>7862</v>
      </c>
      <c r="BD5" s="35">
        <f t="shared" si="0"/>
        <v>8188</v>
      </c>
      <c r="BI5" s="22"/>
      <c r="BL5" s="23"/>
      <c r="BN5" s="24"/>
    </row>
    <row r="6" spans="1:66" s="2" customFormat="1" ht="18" customHeight="1" x14ac:dyDescent="0.3">
      <c r="A6" s="25" t="s">
        <v>41</v>
      </c>
      <c r="B6" s="2" t="s">
        <v>46</v>
      </c>
      <c r="C6" s="36">
        <v>3807</v>
      </c>
      <c r="D6" s="36">
        <v>3915</v>
      </c>
      <c r="E6" s="36">
        <v>1518</v>
      </c>
      <c r="F6" s="27">
        <v>5736.5</v>
      </c>
      <c r="G6" s="28">
        <v>4617.8</v>
      </c>
      <c r="H6" s="28">
        <v>5699.3</v>
      </c>
      <c r="I6" s="28">
        <v>5163.3999999999996</v>
      </c>
      <c r="J6" s="28">
        <v>3435.4000000000005</v>
      </c>
      <c r="K6" s="38">
        <v>3278.5</v>
      </c>
      <c r="L6" s="27"/>
      <c r="M6" s="27"/>
      <c r="N6" s="25" t="s">
        <v>41</v>
      </c>
      <c r="O6" s="2" t="s">
        <v>46</v>
      </c>
      <c r="P6" s="30">
        <v>772.5</v>
      </c>
      <c r="Q6" s="30">
        <v>1038.2</v>
      </c>
      <c r="R6" s="30">
        <v>956.6</v>
      </c>
      <c r="S6" s="31">
        <v>1015.7</v>
      </c>
      <c r="T6" s="31">
        <v>878.7</v>
      </c>
      <c r="U6" s="31">
        <v>1723.1</v>
      </c>
      <c r="V6" s="31">
        <v>1083.3</v>
      </c>
      <c r="W6" s="31">
        <v>1219.8</v>
      </c>
      <c r="X6" s="31">
        <v>487.4</v>
      </c>
      <c r="Y6" s="31">
        <v>-703.9</v>
      </c>
      <c r="Z6" s="31">
        <v>558.29999999999995</v>
      </c>
      <c r="AA6" s="31">
        <v>913.5</v>
      </c>
      <c r="AB6" s="31">
        <v>987.6</v>
      </c>
      <c r="AC6" s="31">
        <v>1488.7</v>
      </c>
      <c r="AD6" s="31">
        <v>2346.6999999999998</v>
      </c>
      <c r="AE6" s="31">
        <v>1177.8</v>
      </c>
      <c r="AF6" s="31">
        <v>904</v>
      </c>
      <c r="AG6" s="31">
        <v>1295.5</v>
      </c>
      <c r="AH6" s="31">
        <v>1140</v>
      </c>
      <c r="AI6" s="31">
        <v>1201.0999999999999</v>
      </c>
      <c r="AJ6" s="32">
        <v>1327.5</v>
      </c>
      <c r="AK6" s="31">
        <v>1583.9</v>
      </c>
      <c r="AL6" s="31">
        <v>1586.8</v>
      </c>
      <c r="AM6" s="31">
        <v>1485.4</v>
      </c>
      <c r="AN6" s="32">
        <v>1030.9000000000001</v>
      </c>
      <c r="AO6" s="31">
        <v>1443.6</v>
      </c>
      <c r="AP6" s="31">
        <v>1203.5</v>
      </c>
      <c r="AQ6" s="31">
        <v>1075.2</v>
      </c>
      <c r="AR6" s="32">
        <v>658.1</v>
      </c>
      <c r="AS6" s="31">
        <v>899.3</v>
      </c>
      <c r="AT6" s="31">
        <v>802.8</v>
      </c>
      <c r="AU6" s="31">
        <v>918.3</v>
      </c>
      <c r="AV6" s="31"/>
      <c r="AW6" s="2" t="s">
        <v>46</v>
      </c>
      <c r="AX6" s="33" t="s">
        <v>41</v>
      </c>
      <c r="AY6" s="34"/>
      <c r="AZ6" s="34"/>
      <c r="BA6" s="33" t="s">
        <v>47</v>
      </c>
      <c r="BB6" s="35">
        <f t="shared" si="0"/>
        <v>1105.5999999999999</v>
      </c>
      <c r="BC6" s="35">
        <f t="shared" si="0"/>
        <v>1093</v>
      </c>
      <c r="BD6" s="35">
        <f t="shared" si="0"/>
        <v>1130.4000000000001</v>
      </c>
      <c r="BI6" s="22"/>
      <c r="BL6" s="23"/>
      <c r="BN6" s="24"/>
    </row>
    <row r="7" spans="1:66" s="2" customFormat="1" ht="18" customHeight="1" x14ac:dyDescent="0.3">
      <c r="A7" s="25" t="s">
        <v>41</v>
      </c>
      <c r="B7" s="2" t="s">
        <v>48</v>
      </c>
      <c r="C7" s="26">
        <v>4518.3</v>
      </c>
      <c r="D7" s="26">
        <v>3599.2</v>
      </c>
      <c r="E7" s="26">
        <v>928</v>
      </c>
      <c r="F7" s="27">
        <v>4199.3999999999996</v>
      </c>
      <c r="G7" s="28">
        <v>3281.6</v>
      </c>
      <c r="H7" s="28">
        <v>4124.7</v>
      </c>
      <c r="I7" s="28">
        <v>3760.9000000000005</v>
      </c>
      <c r="J7" s="28">
        <v>1856.3999999999999</v>
      </c>
      <c r="K7" s="38">
        <v>1368.8999999999999</v>
      </c>
      <c r="L7" s="27"/>
      <c r="M7" s="27"/>
      <c r="N7" s="25" t="s">
        <v>41</v>
      </c>
      <c r="O7" s="2" t="s">
        <v>48</v>
      </c>
      <c r="P7" s="30">
        <v>660.1</v>
      </c>
      <c r="Q7" s="30">
        <v>852.5</v>
      </c>
      <c r="R7" s="30">
        <v>755.8</v>
      </c>
      <c r="S7" s="31">
        <v>760.6</v>
      </c>
      <c r="T7" s="31">
        <v>663.2</v>
      </c>
      <c r="U7" s="31">
        <v>1372.8</v>
      </c>
      <c r="V7" s="31">
        <v>802.8</v>
      </c>
      <c r="W7" s="31">
        <v>885.7</v>
      </c>
      <c r="X7" s="31">
        <v>328.4</v>
      </c>
      <c r="Y7" s="31">
        <v>-678.4</v>
      </c>
      <c r="Z7" s="31">
        <v>392.6</v>
      </c>
      <c r="AA7" s="31">
        <v>622.20000000000005</v>
      </c>
      <c r="AB7" s="31">
        <v>659.4</v>
      </c>
      <c r="AC7" s="31">
        <v>1153.4000000000001</v>
      </c>
      <c r="AD7" s="31">
        <v>1764.4</v>
      </c>
      <c r="AE7" s="31">
        <v>815.9</v>
      </c>
      <c r="AF7" s="31">
        <v>675</v>
      </c>
      <c r="AG7" s="31">
        <v>913.7</v>
      </c>
      <c r="AH7" s="31">
        <v>878.3</v>
      </c>
      <c r="AI7" s="31">
        <v>855.2</v>
      </c>
      <c r="AJ7" s="32">
        <v>908.3</v>
      </c>
      <c r="AK7" s="31">
        <v>1141.9000000000001</v>
      </c>
      <c r="AL7" s="31">
        <v>1219.3</v>
      </c>
      <c r="AM7" s="31">
        <v>1024.4000000000001</v>
      </c>
      <c r="AN7" s="32">
        <v>772.4</v>
      </c>
      <c r="AO7" s="31">
        <v>1054.8</v>
      </c>
      <c r="AP7" s="31">
        <v>909.3</v>
      </c>
      <c r="AQ7" s="31">
        <v>780.8</v>
      </c>
      <c r="AR7" s="32">
        <v>384.2</v>
      </c>
      <c r="AS7" s="31">
        <v>558.29999999999995</v>
      </c>
      <c r="AT7" s="31">
        <v>133.1</v>
      </c>
      <c r="AU7" s="31">
        <v>293.3</v>
      </c>
      <c r="AV7" s="31"/>
      <c r="AW7" s="2" t="s">
        <v>48</v>
      </c>
      <c r="AX7" s="33" t="s">
        <v>41</v>
      </c>
      <c r="AY7" s="34"/>
      <c r="AZ7" s="34"/>
      <c r="BA7" s="33" t="s">
        <v>49</v>
      </c>
      <c r="BB7" s="35">
        <f t="shared" si="0"/>
        <v>537.9</v>
      </c>
      <c r="BC7" s="35">
        <f t="shared" si="0"/>
        <v>614</v>
      </c>
      <c r="BD7" s="35">
        <f t="shared" si="0"/>
        <v>596.70000000000005</v>
      </c>
      <c r="BI7" s="22"/>
      <c r="BL7" s="23"/>
      <c r="BN7" s="24"/>
    </row>
    <row r="8" spans="1:66" s="2" customFormat="1" ht="18" customHeight="1" x14ac:dyDescent="0.3">
      <c r="A8" s="25" t="s">
        <v>41</v>
      </c>
      <c r="B8" s="39" t="s">
        <v>50</v>
      </c>
      <c r="C8" s="30">
        <v>11937</v>
      </c>
      <c r="D8" s="30">
        <v>5047</v>
      </c>
      <c r="E8" s="30">
        <v>1597</v>
      </c>
      <c r="F8" s="27">
        <v>5959</v>
      </c>
      <c r="G8" s="40">
        <v>4397.3</v>
      </c>
      <c r="H8" s="40">
        <v>6008.7</v>
      </c>
      <c r="I8" s="40">
        <v>6095.6</v>
      </c>
      <c r="J8" s="40">
        <v>3365.7</v>
      </c>
      <c r="K8" s="29">
        <v>1597.7</v>
      </c>
      <c r="L8" s="40"/>
      <c r="M8" s="40"/>
      <c r="N8" s="25" t="s">
        <v>51</v>
      </c>
      <c r="O8" s="2" t="s">
        <v>52</v>
      </c>
      <c r="P8" s="41">
        <f t="shared" ref="P8:R8" si="1">P7/P4</f>
        <v>0.10943665240889949</v>
      </c>
      <c r="Q8" s="41">
        <f t="shared" si="1"/>
        <v>0.13509658811783909</v>
      </c>
      <c r="R8" s="41">
        <f t="shared" si="1"/>
        <v>0.11989973983120755</v>
      </c>
      <c r="S8" s="41">
        <f>S7/S4</f>
        <v>0.11467426538212191</v>
      </c>
      <c r="T8" s="41">
        <f>T7/T4</f>
        <v>0.10517134746824404</v>
      </c>
      <c r="U8" s="41">
        <f>U7/U4</f>
        <v>0.2012018173823831</v>
      </c>
      <c r="V8" s="41">
        <f>V7/V4</f>
        <v>0.11898621609604268</v>
      </c>
      <c r="W8" s="41">
        <f>W7/W4</f>
        <v>0.12479745248059067</v>
      </c>
      <c r="X8" s="41">
        <f t="shared" ref="X8:AI8" si="2">X7/X4</f>
        <v>5.4772587020698163E-2</v>
      </c>
      <c r="Y8" s="41">
        <f t="shared" si="2"/>
        <v>-0.16067833542549914</v>
      </c>
      <c r="Z8" s="41">
        <f t="shared" si="2"/>
        <v>6.3290935177572505E-2</v>
      </c>
      <c r="AA8" s="41">
        <f t="shared" si="2"/>
        <v>9.2185972086407691E-2</v>
      </c>
      <c r="AB8" s="41">
        <f t="shared" si="2"/>
        <v>9.889022195560887E-2</v>
      </c>
      <c r="AC8" s="41">
        <f t="shared" si="2"/>
        <v>0.15385846728473287</v>
      </c>
      <c r="AD8" s="41">
        <f t="shared" si="2"/>
        <v>0.21657849190469763</v>
      </c>
      <c r="AE8" s="41">
        <f t="shared" si="2"/>
        <v>0.10134900129186128</v>
      </c>
      <c r="AF8" s="41">
        <f t="shared" si="2"/>
        <v>8.8397066526977472E-2</v>
      </c>
      <c r="AG8" s="41">
        <f t="shared" si="2"/>
        <v>0.11210905387663955</v>
      </c>
      <c r="AH8" s="41">
        <f t="shared" si="2"/>
        <v>0.10438306672054383</v>
      </c>
      <c r="AI8" s="41">
        <f t="shared" si="2"/>
        <v>9.8142048910361615E-2</v>
      </c>
      <c r="AJ8" s="42">
        <v>8.8400000000000006E-2</v>
      </c>
      <c r="AK8" s="41">
        <f t="shared" ref="AK8:AL8" si="3">AK7/AK4</f>
        <v>0.12454871677410209</v>
      </c>
      <c r="AL8" s="41">
        <f t="shared" si="3"/>
        <v>0.13007809166168813</v>
      </c>
      <c r="AM8" s="41">
        <f>AM7/AM4</f>
        <v>0.10868619566485949</v>
      </c>
      <c r="AN8" s="42">
        <v>8.8400000000000006E-2</v>
      </c>
      <c r="AO8" s="41">
        <f t="shared" ref="AO8:AP8" si="4">AO7/AO4</f>
        <v>0.11573530541261151</v>
      </c>
      <c r="AP8" s="41">
        <f t="shared" si="4"/>
        <v>0.10020938946440379</v>
      </c>
      <c r="AQ8" s="41">
        <f>AQ7/AQ4</f>
        <v>8.3083274808997853E-2</v>
      </c>
      <c r="AR8" s="42">
        <v>8.8400000000000006E-2</v>
      </c>
      <c r="AS8" s="41">
        <f t="shared" ref="AS8:AT8" si="5">AS7/AS4</f>
        <v>5.9041878172588831E-2</v>
      </c>
      <c r="AT8" s="41">
        <f t="shared" si="5"/>
        <v>1.3909499425227297E-2</v>
      </c>
      <c r="AU8" s="41">
        <f>AU7/AU4</f>
        <v>2.9581143911811277E-2</v>
      </c>
      <c r="AV8" s="41"/>
      <c r="AW8" s="2" t="s">
        <v>52</v>
      </c>
      <c r="AX8" s="33" t="s">
        <v>51</v>
      </c>
      <c r="AY8" s="43"/>
      <c r="AZ8" s="43"/>
      <c r="BA8" s="33" t="s">
        <v>53</v>
      </c>
      <c r="BB8" s="35">
        <f>AS30</f>
        <v>6927</v>
      </c>
      <c r="BC8" s="35">
        <f t="shared" ref="BC8:BD10" si="6">AT30</f>
        <v>6901.5</v>
      </c>
      <c r="BD8" s="35">
        <f t="shared" si="6"/>
        <v>7280.5</v>
      </c>
      <c r="BI8" s="22"/>
      <c r="BL8" s="23"/>
      <c r="BN8" s="24"/>
    </row>
    <row r="9" spans="1:66" s="2" customFormat="1" ht="18" customHeight="1" x14ac:dyDescent="0.3">
      <c r="A9" s="25" t="s">
        <v>41</v>
      </c>
      <c r="B9" s="39" t="s">
        <v>54</v>
      </c>
      <c r="C9" s="30">
        <v>9961</v>
      </c>
      <c r="D9" s="30">
        <v>3240</v>
      </c>
      <c r="E9" s="30">
        <v>114</v>
      </c>
      <c r="F9" s="27">
        <v>4628</v>
      </c>
      <c r="G9" s="40">
        <v>2556</v>
      </c>
      <c r="H9" s="40">
        <v>3675.1</v>
      </c>
      <c r="I9" s="40">
        <v>3318.1000000000004</v>
      </c>
      <c r="J9" s="40">
        <v>1516.1999999999994</v>
      </c>
      <c r="K9" s="29">
        <v>1274</v>
      </c>
      <c r="L9" s="40"/>
      <c r="M9" s="40"/>
      <c r="N9" s="25" t="s">
        <v>51</v>
      </c>
      <c r="O9" s="2" t="s">
        <v>55</v>
      </c>
      <c r="P9" s="41">
        <f t="shared" ref="P9:R9" si="7">P5/P4</f>
        <v>0.58309294074737228</v>
      </c>
      <c r="Q9" s="41">
        <f t="shared" si="7"/>
        <v>0.59535996703801719</v>
      </c>
      <c r="R9" s="41">
        <f t="shared" si="7"/>
        <v>0.58680753854940026</v>
      </c>
      <c r="S9" s="41">
        <f>S5/S4</f>
        <v>0.2834441479337223</v>
      </c>
      <c r="T9" s="41">
        <f>T5/T4</f>
        <v>0.27791433419496031</v>
      </c>
      <c r="U9" s="41">
        <f>U5/U4</f>
        <v>0.29252528213395868</v>
      </c>
      <c r="V9" s="41">
        <f>V5/V4</f>
        <v>0.27550022232103155</v>
      </c>
      <c r="W9" s="41">
        <f>W5/W4</f>
        <v>0.28732862718575192</v>
      </c>
      <c r="X9" s="41">
        <f t="shared" ref="X9:AI9" si="8">X5/X4</f>
        <v>0.21291925880214152</v>
      </c>
      <c r="Y9" s="41">
        <f t="shared" si="8"/>
        <v>4.7440846971886025E-2</v>
      </c>
      <c r="Z9" s="41">
        <f t="shared" si="8"/>
        <v>0.24876271541648529</v>
      </c>
      <c r="AA9" s="41">
        <f t="shared" si="8"/>
        <v>0.27157969597297538</v>
      </c>
      <c r="AB9" s="41">
        <f t="shared" si="8"/>
        <v>0.27778944211157769</v>
      </c>
      <c r="AC9" s="41">
        <f t="shared" si="8"/>
        <v>0.30995798039084904</v>
      </c>
      <c r="AD9" s="41">
        <f t="shared" si="8"/>
        <v>0.29241287883437461</v>
      </c>
      <c r="AE9" s="41">
        <f t="shared" si="8"/>
        <v>0.26377571300804931</v>
      </c>
      <c r="AF9" s="41">
        <f t="shared" si="8"/>
        <v>0.2429282346778418</v>
      </c>
      <c r="AG9" s="41">
        <f t="shared" si="8"/>
        <v>0.2741070661709672</v>
      </c>
      <c r="AH9" s="41">
        <f t="shared" si="8"/>
        <v>0.2565306267975565</v>
      </c>
      <c r="AI9" s="41">
        <f t="shared" si="8"/>
        <v>0.2420385820355983</v>
      </c>
      <c r="AJ9" s="42">
        <v>0.2429</v>
      </c>
      <c r="AK9" s="41">
        <f t="shared" ref="AK9:AL9" si="9">AK5/AK4</f>
        <v>0.28429479838137928</v>
      </c>
      <c r="AL9" s="41">
        <f t="shared" si="9"/>
        <v>0.290091320303832</v>
      </c>
      <c r="AM9" s="41">
        <f>AM5/AM4</f>
        <v>0.27513182604267228</v>
      </c>
      <c r="AN9" s="42">
        <v>0.2429</v>
      </c>
      <c r="AO9" s="41">
        <f t="shared" ref="AO9:AP9" si="10">AO5/AO4</f>
        <v>0.27912309768595223</v>
      </c>
      <c r="AP9" s="41">
        <f t="shared" si="10"/>
        <v>0.2625082653735949</v>
      </c>
      <c r="AQ9" s="41">
        <f>AQ5/AQ4</f>
        <v>0.24485517887165081</v>
      </c>
      <c r="AR9" s="42">
        <v>0.2429</v>
      </c>
      <c r="AS9" s="41">
        <f t="shared" ref="AS9:AT9" si="11">AS5/AS4</f>
        <v>0.22797165820642976</v>
      </c>
      <c r="AT9" s="41">
        <f t="shared" si="11"/>
        <v>0.21082662765179225</v>
      </c>
      <c r="AU9" s="41">
        <f>AU5/AU4</f>
        <v>0.21070891871993219</v>
      </c>
      <c r="AV9" s="41"/>
      <c r="AW9" s="2" t="s">
        <v>55</v>
      </c>
      <c r="AX9" s="33" t="s">
        <v>51</v>
      </c>
      <c r="AY9" s="43"/>
      <c r="AZ9" s="43"/>
      <c r="BA9" s="33" t="s">
        <v>56</v>
      </c>
      <c r="BB9" s="35">
        <f t="shared" ref="BB9:BB10" si="12">AS31</f>
        <v>2010.7</v>
      </c>
      <c r="BC9" s="35">
        <f t="shared" si="6"/>
        <v>2070.9</v>
      </c>
      <c r="BD9" s="35">
        <f t="shared" si="6"/>
        <v>2064.9</v>
      </c>
      <c r="BI9" s="22"/>
      <c r="BL9" s="23"/>
      <c r="BN9" s="24"/>
    </row>
    <row r="10" spans="1:66" s="2" customFormat="1" ht="18" customHeight="1" x14ac:dyDescent="0.3">
      <c r="A10" s="25" t="s">
        <v>51</v>
      </c>
      <c r="B10" s="2" t="s">
        <v>57</v>
      </c>
      <c r="C10" s="44">
        <v>10.42</v>
      </c>
      <c r="D10" s="44">
        <v>7.24</v>
      </c>
      <c r="E10" s="23">
        <v>-11.281621813298321</v>
      </c>
      <c r="F10" s="45">
        <v>15.303172038438642</v>
      </c>
      <c r="G10" s="46">
        <v>10.976029400631772</v>
      </c>
      <c r="H10" s="46">
        <v>11.551210376337583</v>
      </c>
      <c r="I10" s="46">
        <v>0.5576001512135963</v>
      </c>
      <c r="J10" s="46">
        <v>2.7869151541621409</v>
      </c>
      <c r="K10" s="47">
        <v>4.216860809040198</v>
      </c>
      <c r="L10" s="45"/>
      <c r="M10" s="45"/>
      <c r="N10" s="25"/>
      <c r="S10" s="41"/>
      <c r="T10" s="41"/>
      <c r="U10" s="41"/>
      <c r="V10" s="41"/>
      <c r="W10" s="41"/>
      <c r="AW10" s="33"/>
      <c r="BA10" s="33" t="s">
        <v>58</v>
      </c>
      <c r="BB10" s="35">
        <f t="shared" si="12"/>
        <v>518</v>
      </c>
      <c r="BC10" s="35">
        <f t="shared" si="6"/>
        <v>597</v>
      </c>
      <c r="BD10" s="35">
        <f t="shared" si="6"/>
        <v>570</v>
      </c>
      <c r="BI10" s="22"/>
      <c r="BL10" s="23"/>
      <c r="BN10" s="24"/>
    </row>
    <row r="11" spans="1:66" s="2" customFormat="1" ht="18" customHeight="1" x14ac:dyDescent="0.3">
      <c r="A11" s="25" t="s">
        <v>51</v>
      </c>
      <c r="B11" s="2" t="s">
        <v>59</v>
      </c>
      <c r="C11" s="44">
        <v>-2.3199999999999998</v>
      </c>
      <c r="D11" s="44">
        <v>2.87</v>
      </c>
      <c r="E11" s="23">
        <v>-61.226053639846747</v>
      </c>
      <c r="F11" s="45">
        <v>160.0856389986825</v>
      </c>
      <c r="G11" s="46">
        <v>-19.501438159156276</v>
      </c>
      <c r="H11" s="46">
        <v>23.420243405950885</v>
      </c>
      <c r="I11" s="46">
        <v>-9.4029091291913147</v>
      </c>
      <c r="J11" s="46">
        <v>-33.466320641437797</v>
      </c>
      <c r="K11" s="47">
        <v>-73.789290635868497</v>
      </c>
      <c r="L11" s="45"/>
      <c r="M11" s="45"/>
      <c r="N11" s="25"/>
      <c r="S11" s="41"/>
      <c r="T11" s="41"/>
      <c r="U11" s="41"/>
      <c r="V11" s="41"/>
      <c r="W11" s="41"/>
      <c r="AW11" s="33"/>
      <c r="BA11" s="33" t="s">
        <v>60</v>
      </c>
      <c r="BB11" s="35">
        <f>AS37</f>
        <v>5752</v>
      </c>
      <c r="BC11" s="35">
        <f t="shared" ref="BC11:BD13" si="13">AT37</f>
        <v>5816.3000000000029</v>
      </c>
      <c r="BD11" s="35">
        <f t="shared" si="13"/>
        <v>5944.2</v>
      </c>
      <c r="BI11" s="22"/>
      <c r="BL11" s="23"/>
      <c r="BN11" s="24"/>
    </row>
    <row r="12" spans="1:66" s="2" customFormat="1" ht="18" customHeight="1" x14ac:dyDescent="0.3">
      <c r="A12" s="25" t="s">
        <v>51</v>
      </c>
      <c r="B12" s="2" t="s">
        <v>61</v>
      </c>
      <c r="C12" s="44">
        <v>56.63</v>
      </c>
      <c r="D12" s="44">
        <v>-20.34</v>
      </c>
      <c r="E12" s="23">
        <v>-74.216492553900864</v>
      </c>
      <c r="F12" s="45">
        <v>204.69827586206901</v>
      </c>
      <c r="G12" s="46">
        <v>-21.85550316711911</v>
      </c>
      <c r="H12" s="46">
        <v>25.691735738664061</v>
      </c>
      <c r="I12" s="46">
        <v>-8.8200353965136689</v>
      </c>
      <c r="J12" s="46">
        <v>-50.639474593847233</v>
      </c>
      <c r="K12" s="47">
        <v>-61.604532714505289</v>
      </c>
      <c r="L12" s="45"/>
      <c r="M12" s="45"/>
      <c r="AK12" s="48"/>
      <c r="AL12" s="36"/>
      <c r="AM12" s="36"/>
      <c r="AN12" s="36"/>
      <c r="AO12" s="36"/>
      <c r="AP12" s="36"/>
      <c r="AQ12" s="36"/>
      <c r="AR12" s="36"/>
      <c r="AS12" s="36"/>
      <c r="AT12" s="36"/>
      <c r="AU12" s="36"/>
      <c r="AV12" s="36"/>
      <c r="AW12" s="33"/>
      <c r="BA12" s="33" t="s">
        <v>62</v>
      </c>
      <c r="BB12" s="35">
        <f t="shared" ref="BB12:BB13" si="14">AS38</f>
        <v>1787.5</v>
      </c>
      <c r="BC12" s="35">
        <f t="shared" si="13"/>
        <v>1780.0999999999995</v>
      </c>
      <c r="BD12" s="35">
        <f t="shared" si="13"/>
        <v>1881.2</v>
      </c>
      <c r="BI12" s="22"/>
      <c r="BL12" s="23"/>
      <c r="BN12" s="24"/>
    </row>
    <row r="13" spans="1:66" s="2" customFormat="1" ht="18" customHeight="1" x14ac:dyDescent="0.3">
      <c r="A13" s="25" t="s">
        <v>63</v>
      </c>
      <c r="B13" s="2" t="s">
        <v>64</v>
      </c>
      <c r="C13" s="44">
        <v>18.278282327716987</v>
      </c>
      <c r="D13" s="44">
        <v>13.57748051575715</v>
      </c>
      <c r="E13" s="23">
        <v>3.945913768177566</v>
      </c>
      <c r="F13" s="45">
        <v>10.427407161559172</v>
      </c>
      <c r="G13" s="46">
        <v>10.175409220999494</v>
      </c>
      <c r="H13" s="46">
        <v>11.465270905836178</v>
      </c>
      <c r="I13" s="46">
        <v>10.39606149899658</v>
      </c>
      <c r="J13" s="46">
        <v>4.9924161745248004</v>
      </c>
      <c r="K13" s="47">
        <v>3.3791579690040505</v>
      </c>
      <c r="L13" s="45"/>
      <c r="M13" s="45"/>
      <c r="AL13" s="36"/>
      <c r="AM13" s="36"/>
      <c r="AN13" s="36"/>
      <c r="AO13" s="36"/>
      <c r="AP13" s="36"/>
      <c r="AQ13" s="36"/>
      <c r="AR13" s="36"/>
      <c r="AS13" s="36"/>
      <c r="AT13" s="36"/>
      <c r="AU13" s="36"/>
      <c r="AV13" s="36"/>
      <c r="AW13" s="33"/>
      <c r="BA13" s="33" t="s">
        <v>65</v>
      </c>
      <c r="BB13" s="35">
        <f t="shared" si="14"/>
        <v>1916.5</v>
      </c>
      <c r="BC13" s="35">
        <f t="shared" si="13"/>
        <v>1972.1</v>
      </c>
      <c r="BD13" s="35">
        <f t="shared" si="13"/>
        <v>2089.6999999999998</v>
      </c>
      <c r="BI13" s="22"/>
      <c r="BL13" s="23"/>
      <c r="BN13" s="24"/>
    </row>
    <row r="14" spans="1:66" s="2" customFormat="1" ht="18" customHeight="1" x14ac:dyDescent="0.3">
      <c r="A14" s="25" t="s">
        <v>63</v>
      </c>
      <c r="B14" s="2" t="s">
        <v>66</v>
      </c>
      <c r="C14" s="44">
        <v>29.74</v>
      </c>
      <c r="D14" s="44">
        <v>28.25</v>
      </c>
      <c r="E14" s="44">
        <v>21.5</v>
      </c>
      <c r="F14" s="45">
        <v>27.849688387358484</v>
      </c>
      <c r="G14" s="46">
        <v>25.956347692889679</v>
      </c>
      <c r="H14" s="46">
        <v>27.009695460256388</v>
      </c>
      <c r="I14" s="46">
        <v>26.838916193519495</v>
      </c>
      <c r="J14" s="46">
        <v>22.38089091124235</v>
      </c>
      <c r="K14" s="47">
        <v>21.511762069084419</v>
      </c>
      <c r="L14" s="45"/>
      <c r="M14" s="45"/>
      <c r="AL14" s="48"/>
      <c r="AM14" s="48"/>
      <c r="AN14" s="48"/>
      <c r="AO14" s="48"/>
      <c r="AP14" s="48"/>
      <c r="AQ14" s="48"/>
      <c r="AR14" s="48"/>
      <c r="AS14" s="48"/>
      <c r="AT14" s="48"/>
      <c r="AU14" s="48"/>
      <c r="AV14" s="48"/>
      <c r="AW14" s="33"/>
      <c r="BI14" s="22"/>
      <c r="BL14" s="23"/>
      <c r="BN14" s="24"/>
    </row>
    <row r="15" spans="1:66" s="2" customFormat="1" ht="18" customHeight="1" x14ac:dyDescent="0.3">
      <c r="A15" s="25" t="s">
        <v>67</v>
      </c>
      <c r="B15" s="2" t="s">
        <v>68</v>
      </c>
      <c r="C15" s="44">
        <v>31.62</v>
      </c>
      <c r="D15" s="44">
        <v>33.72</v>
      </c>
      <c r="E15" s="44">
        <v>26.69</v>
      </c>
      <c r="F15" s="45">
        <v>30.26</v>
      </c>
      <c r="G15" s="46">
        <v>33.29</v>
      </c>
      <c r="H15" s="46">
        <v>30.52</v>
      </c>
      <c r="I15" s="46">
        <v>28.58</v>
      </c>
      <c r="J15" s="46">
        <v>29.06</v>
      </c>
      <c r="K15" s="49">
        <v>28.85</v>
      </c>
      <c r="AW15" s="33"/>
      <c r="BI15" s="22"/>
      <c r="BL15" s="23"/>
      <c r="BN15" s="24"/>
    </row>
    <row r="16" spans="1:66" s="2" customFormat="1" ht="18" customHeight="1" x14ac:dyDescent="0.3">
      <c r="A16" s="25" t="s">
        <v>67</v>
      </c>
      <c r="B16" s="2" t="s">
        <v>69</v>
      </c>
      <c r="C16" s="50">
        <v>1.28</v>
      </c>
      <c r="D16" s="50">
        <v>1.22</v>
      </c>
      <c r="E16" s="50">
        <v>0.97</v>
      </c>
      <c r="F16" s="45">
        <v>0.93</v>
      </c>
      <c r="G16" s="46">
        <v>1.0900000000000001</v>
      </c>
      <c r="H16" s="46">
        <v>1.25</v>
      </c>
      <c r="I16" s="46">
        <v>1.19</v>
      </c>
      <c r="J16" s="46">
        <v>1.1499999999999999</v>
      </c>
      <c r="K16" s="49">
        <v>1.18</v>
      </c>
      <c r="AW16" s="33"/>
      <c r="BN16" s="24"/>
    </row>
    <row r="17" spans="1:75" s="2" customFormat="1" ht="18" customHeight="1" x14ac:dyDescent="0.3">
      <c r="A17" s="25" t="s">
        <v>70</v>
      </c>
      <c r="B17" s="2" t="s">
        <v>71</v>
      </c>
      <c r="C17" s="50">
        <v>7.77</v>
      </c>
      <c r="D17" s="50">
        <v>1.0000000000000001E-5</v>
      </c>
      <c r="E17" s="50">
        <v>1.0000000000000001E-5</v>
      </c>
      <c r="F17" s="45">
        <v>1.0000000000000001E-5</v>
      </c>
      <c r="G17" s="46">
        <v>9.9999999999999995E-7</v>
      </c>
      <c r="H17" s="46">
        <v>9.9999999999999995E-7</v>
      </c>
      <c r="I17" s="46">
        <v>-1.9242999999999999</v>
      </c>
      <c r="J17" s="46">
        <v>-1.8019000000000001</v>
      </c>
      <c r="K17" s="49">
        <v>-1.7418</v>
      </c>
      <c r="AW17" s="33"/>
      <c r="BH17"/>
      <c r="BI17"/>
      <c r="BJ17"/>
      <c r="BK17"/>
      <c r="BL17"/>
      <c r="BM17"/>
      <c r="BN17" s="24"/>
    </row>
    <row r="18" spans="1:75" s="2" customFormat="1" ht="18" customHeight="1" x14ac:dyDescent="0.3">
      <c r="A18" s="25" t="s">
        <v>72</v>
      </c>
      <c r="B18" s="2" t="s">
        <v>73</v>
      </c>
      <c r="C18" s="50">
        <v>2.2000000000000002</v>
      </c>
      <c r="D18" s="50">
        <v>0.92</v>
      </c>
      <c r="E18" s="50">
        <v>1.06</v>
      </c>
      <c r="F18" s="45">
        <v>1.02</v>
      </c>
      <c r="G18" s="46">
        <v>0.77</v>
      </c>
      <c r="H18" s="46">
        <v>0.78</v>
      </c>
      <c r="I18" s="46">
        <v>0.75</v>
      </c>
      <c r="J18" s="46">
        <v>0.72</v>
      </c>
      <c r="K18" s="49">
        <v>1.05</v>
      </c>
      <c r="AW18" s="33"/>
      <c r="BH18"/>
      <c r="BI18"/>
      <c r="BJ18"/>
      <c r="BK18"/>
      <c r="BL18"/>
      <c r="BM18"/>
      <c r="BN18" s="24"/>
    </row>
    <row r="19" spans="1:75" s="4" customFormat="1" ht="18" customHeight="1" x14ac:dyDescent="0.3">
      <c r="A19" s="25"/>
      <c r="B19" s="2" t="s">
        <v>74</v>
      </c>
      <c r="C19" s="51">
        <v>291000</v>
      </c>
      <c r="D19" s="30">
        <v>346000</v>
      </c>
      <c r="E19" s="30">
        <v>349000</v>
      </c>
      <c r="F19" s="27">
        <v>383000</v>
      </c>
      <c r="G19" s="27">
        <v>383000</v>
      </c>
      <c r="H19" s="27">
        <v>402000</v>
      </c>
      <c r="I19" s="27">
        <v>402000</v>
      </c>
      <c r="J19" s="27">
        <v>361000</v>
      </c>
      <c r="K19" s="27">
        <v>361000</v>
      </c>
      <c r="L19" s="2"/>
      <c r="M19" s="2"/>
      <c r="AW19" s="52"/>
      <c r="BH19"/>
      <c r="BI19"/>
      <c r="BJ19"/>
      <c r="BK19"/>
      <c r="BL19"/>
      <c r="BM19"/>
      <c r="BN19" s="2"/>
      <c r="BO19" s="2"/>
      <c r="BP19" s="39"/>
      <c r="BQ19" s="39"/>
      <c r="BR19" s="39"/>
      <c r="BS19" s="39"/>
      <c r="BT19" s="39"/>
      <c r="BU19" s="39"/>
      <c r="BV19" s="39"/>
      <c r="BW19" s="39"/>
    </row>
    <row r="20" spans="1:75" ht="18" customHeight="1" x14ac:dyDescent="0.3">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W20" s="53"/>
    </row>
    <row r="21" spans="1:75" ht="18" customHeight="1" x14ac:dyDescent="0.3">
      <c r="A21" s="2"/>
      <c r="B21" s="2"/>
      <c r="C21" s="2"/>
      <c r="D21" s="2"/>
      <c r="E21" s="2"/>
      <c r="F21" s="2"/>
      <c r="G21" s="2"/>
      <c r="H21" s="2"/>
      <c r="I21" s="2"/>
      <c r="J21"/>
      <c r="K21"/>
      <c r="L21"/>
      <c r="M21"/>
      <c r="N21"/>
      <c r="O21"/>
      <c r="P21"/>
      <c r="Q21"/>
      <c r="R21"/>
      <c r="S21"/>
      <c r="T21"/>
      <c r="U21"/>
      <c r="V21"/>
      <c r="W21"/>
      <c r="X21"/>
      <c r="Y21"/>
      <c r="Z21"/>
      <c r="AA21"/>
      <c r="AB21"/>
      <c r="AC21"/>
      <c r="AD21"/>
      <c r="AE21"/>
      <c r="AF21"/>
      <c r="AG21"/>
      <c r="AH21"/>
      <c r="AI21"/>
      <c r="AJ21"/>
      <c r="AK21"/>
      <c r="AL21"/>
      <c r="AM21"/>
      <c r="AN21"/>
      <c r="AO21"/>
      <c r="AW21" s="53"/>
    </row>
    <row r="22" spans="1:75" ht="18" customHeight="1" x14ac:dyDescent="0.3">
      <c r="A22" s="18" t="s">
        <v>75</v>
      </c>
      <c r="B22" s="9" t="s">
        <v>76</v>
      </c>
      <c r="C22" s="9">
        <v>2018</v>
      </c>
      <c r="D22" s="9">
        <v>2019</v>
      </c>
      <c r="E22" s="9">
        <v>2020</v>
      </c>
      <c r="F22" s="10">
        <v>2021</v>
      </c>
      <c r="G22" s="11">
        <v>2022</v>
      </c>
      <c r="H22" s="12">
        <v>2023</v>
      </c>
      <c r="I22" s="13">
        <v>2024</v>
      </c>
      <c r="J22" s="14">
        <v>2025</v>
      </c>
      <c r="K22" s="15" t="s">
        <v>7</v>
      </c>
      <c r="L22" s="9"/>
      <c r="M22" s="9"/>
      <c r="N22" s="18" t="s">
        <v>75</v>
      </c>
      <c r="O22" s="9" t="s">
        <v>76</v>
      </c>
      <c r="P22" s="18" t="s">
        <v>9</v>
      </c>
      <c r="Q22" s="18" t="s">
        <v>10</v>
      </c>
      <c r="R22" s="19" t="s">
        <v>11</v>
      </c>
      <c r="S22" s="18" t="s">
        <v>12</v>
      </c>
      <c r="T22" s="18" t="s">
        <v>13</v>
      </c>
      <c r="U22" s="18" t="s">
        <v>14</v>
      </c>
      <c r="V22" s="19" t="s">
        <v>15</v>
      </c>
      <c r="W22" s="18" t="s">
        <v>16</v>
      </c>
      <c r="X22" s="18" t="s">
        <v>17</v>
      </c>
      <c r="Y22" s="18" t="s">
        <v>18</v>
      </c>
      <c r="Z22" s="19" t="s">
        <v>19</v>
      </c>
      <c r="AA22" s="18" t="s">
        <v>20</v>
      </c>
      <c r="AB22" s="18" t="s">
        <v>21</v>
      </c>
      <c r="AC22" s="18" t="s">
        <v>22</v>
      </c>
      <c r="AD22" s="19" t="s">
        <v>23</v>
      </c>
      <c r="AE22" s="18" t="s">
        <v>24</v>
      </c>
      <c r="AF22" s="18" t="s">
        <v>25</v>
      </c>
      <c r="AG22" s="18" t="s">
        <v>26</v>
      </c>
      <c r="AH22" s="19" t="s">
        <v>77</v>
      </c>
      <c r="AI22" s="18" t="s">
        <v>28</v>
      </c>
      <c r="AJ22" s="18" t="s">
        <v>29</v>
      </c>
      <c r="AK22" s="18" t="s">
        <v>30</v>
      </c>
      <c r="AL22" s="19" t="s">
        <v>31</v>
      </c>
      <c r="AM22" s="18" t="s">
        <v>32</v>
      </c>
      <c r="AN22" s="20" t="s">
        <v>33</v>
      </c>
      <c r="AO22" s="18" t="s">
        <v>34</v>
      </c>
      <c r="AP22" s="19" t="s">
        <v>35</v>
      </c>
      <c r="AQ22" s="18" t="s">
        <v>36</v>
      </c>
      <c r="AR22" s="20" t="s">
        <v>37</v>
      </c>
      <c r="AS22" s="18" t="s">
        <v>38</v>
      </c>
      <c r="AT22" s="19" t="s">
        <v>39</v>
      </c>
      <c r="AU22" s="18" t="s">
        <v>40</v>
      </c>
      <c r="AV22" s="19"/>
      <c r="AW22" s="8" t="s">
        <v>76</v>
      </c>
      <c r="AX22" s="21"/>
      <c r="AY22" s="9"/>
      <c r="AZ22" s="9"/>
      <c r="BA22" s="1"/>
      <c r="BB22" s="18"/>
      <c r="BC22" s="2"/>
      <c r="BD22" s="2"/>
      <c r="BE22" s="2"/>
      <c r="BF22" s="2"/>
      <c r="BG22" s="2"/>
    </row>
    <row r="23" spans="1:75" ht="18" customHeight="1" x14ac:dyDescent="0.3">
      <c r="A23" s="25" t="s">
        <v>41</v>
      </c>
      <c r="B23" s="2" t="s">
        <v>45</v>
      </c>
      <c r="C23" s="35">
        <v>19690.3</v>
      </c>
      <c r="D23" s="35">
        <v>21544.400000000001</v>
      </c>
      <c r="E23" s="35">
        <v>19164.599999999999</v>
      </c>
      <c r="F23" s="35">
        <v>24607</v>
      </c>
      <c r="G23" s="35">
        <v>26576</v>
      </c>
      <c r="H23" s="35">
        <v>29462.400000000001</v>
      </c>
      <c r="I23" s="35">
        <v>29765.8</v>
      </c>
      <c r="J23" s="35">
        <v>30744.799999999999</v>
      </c>
      <c r="K23" s="35">
        <v>31147.5</v>
      </c>
      <c r="L23" s="2"/>
      <c r="M23" s="2"/>
      <c r="N23" s="25" t="s">
        <v>41</v>
      </c>
      <c r="O23" s="2" t="s">
        <v>45</v>
      </c>
      <c r="P23" s="30">
        <v>4828</v>
      </c>
      <c r="Q23" s="30">
        <v>5060.3999999999996</v>
      </c>
      <c r="R23" s="30">
        <v>5060.1000000000004</v>
      </c>
      <c r="S23" s="30">
        <v>5370.3</v>
      </c>
      <c r="T23" s="30">
        <v>5159</v>
      </c>
      <c r="U23" s="30">
        <v>5535</v>
      </c>
      <c r="V23" s="30">
        <v>5480.1000000000022</v>
      </c>
      <c r="W23" s="30">
        <v>5780.7</v>
      </c>
      <c r="X23" s="30">
        <v>4766</v>
      </c>
      <c r="Y23" s="30">
        <v>3444.4</v>
      </c>
      <c r="Z23" s="30">
        <v>5173.4999999999982</v>
      </c>
      <c r="AA23" s="30">
        <v>5726.5</v>
      </c>
      <c r="AB23" s="30">
        <v>5653.1</v>
      </c>
      <c r="AC23" s="30">
        <v>6363.1</v>
      </c>
      <c r="AD23" s="30">
        <v>6864.2999999999993</v>
      </c>
      <c r="AE23" s="30">
        <v>6722.4</v>
      </c>
      <c r="AF23" s="30">
        <v>6276.7</v>
      </c>
      <c r="AG23" s="30">
        <v>6675.5</v>
      </c>
      <c r="AH23" s="30">
        <v>6901.4</v>
      </c>
      <c r="AI23" s="30">
        <v>7083.5</v>
      </c>
      <c r="AJ23" s="30">
        <v>7142.3</v>
      </c>
      <c r="AK23" s="30">
        <v>7556.7</v>
      </c>
      <c r="AL23" s="30">
        <v>7679.9</v>
      </c>
      <c r="AM23" s="30">
        <v>7755.2</v>
      </c>
      <c r="AN23" s="30">
        <v>7052.6</v>
      </c>
      <c r="AO23" s="30">
        <v>7516</v>
      </c>
      <c r="AP23" s="30">
        <v>7442</v>
      </c>
      <c r="AQ23" s="30">
        <v>7785.3</v>
      </c>
      <c r="AR23" s="30">
        <v>7285</v>
      </c>
      <c r="AS23" s="30">
        <v>7812.5</v>
      </c>
      <c r="AT23" s="30">
        <v>7862</v>
      </c>
      <c r="AU23" s="30">
        <v>8188</v>
      </c>
      <c r="AV23" s="30"/>
      <c r="AW23" s="33" t="s">
        <v>45</v>
      </c>
      <c r="AX23" s="34"/>
      <c r="AY23" s="34"/>
      <c r="AZ23" s="34"/>
      <c r="BA23" s="34"/>
      <c r="BB23" s="34"/>
      <c r="BC23" s="2"/>
      <c r="BD23" s="2"/>
      <c r="BE23" s="2"/>
      <c r="BF23" s="2"/>
      <c r="BG23" s="2"/>
    </row>
    <row r="24" spans="1:75" ht="18" customHeight="1" x14ac:dyDescent="0.3">
      <c r="A24" s="25" t="s">
        <v>41</v>
      </c>
      <c r="B24" s="2" t="s">
        <v>47</v>
      </c>
      <c r="C24" s="35">
        <v>2652.2</v>
      </c>
      <c r="D24" s="35">
        <v>2875</v>
      </c>
      <c r="E24" s="35">
        <v>2327.1</v>
      </c>
      <c r="F24" s="35">
        <v>2683.6</v>
      </c>
      <c r="G24" s="35">
        <v>3655.5</v>
      </c>
      <c r="H24" s="35">
        <v>4512.7</v>
      </c>
      <c r="I24" s="35">
        <v>4505.1000000000004</v>
      </c>
      <c r="J24" s="35">
        <v>4350.2999999999993</v>
      </c>
      <c r="K24" s="35">
        <v>4345</v>
      </c>
      <c r="L24" s="2"/>
      <c r="M24" s="2"/>
      <c r="N24" s="25" t="s">
        <v>41</v>
      </c>
      <c r="O24" s="2" t="s">
        <v>47</v>
      </c>
      <c r="P24" s="30">
        <v>625.6</v>
      </c>
      <c r="Q24" s="30">
        <v>660.6</v>
      </c>
      <c r="R24" s="30">
        <v>683.59999999999991</v>
      </c>
      <c r="S24" s="30">
        <v>737.1</v>
      </c>
      <c r="T24" s="30">
        <v>678.2</v>
      </c>
      <c r="U24" s="30">
        <v>725</v>
      </c>
      <c r="V24" s="30">
        <v>734.69999999999982</v>
      </c>
      <c r="W24" s="30">
        <v>792</v>
      </c>
      <c r="X24" s="30">
        <v>689.8</v>
      </c>
      <c r="Y24" s="30">
        <v>300.5</v>
      </c>
      <c r="Z24" s="30">
        <v>544.79999999999995</v>
      </c>
      <c r="AA24" s="30">
        <v>613.79999999999995</v>
      </c>
      <c r="AB24" s="30">
        <v>595</v>
      </c>
      <c r="AC24" s="30">
        <v>680.2</v>
      </c>
      <c r="AD24" s="30">
        <v>794.59999999999991</v>
      </c>
      <c r="AE24" s="30">
        <v>850.8</v>
      </c>
      <c r="AF24" s="30">
        <v>849.5</v>
      </c>
      <c r="AG24" s="30">
        <v>956.8</v>
      </c>
      <c r="AH24" s="30">
        <v>998.4</v>
      </c>
      <c r="AI24" s="30">
        <v>1119.5</v>
      </c>
      <c r="AJ24" s="30">
        <v>1069.5</v>
      </c>
      <c r="AK24" s="30">
        <v>1136.2</v>
      </c>
      <c r="AL24" s="30">
        <v>1187.5</v>
      </c>
      <c r="AM24" s="30">
        <v>1192.0999999999999</v>
      </c>
      <c r="AN24" s="30">
        <v>1054.5</v>
      </c>
      <c r="AO24" s="30">
        <v>1129</v>
      </c>
      <c r="AP24" s="30">
        <v>1129.5</v>
      </c>
      <c r="AQ24" s="30">
        <v>1135.7</v>
      </c>
      <c r="AR24" s="30">
        <v>1016</v>
      </c>
      <c r="AS24" s="30">
        <v>1105.5999999999999</v>
      </c>
      <c r="AT24" s="30">
        <v>1093</v>
      </c>
      <c r="AU24" s="30">
        <v>1130.4000000000001</v>
      </c>
      <c r="AV24" s="30"/>
      <c r="AW24" s="33" t="s">
        <v>47</v>
      </c>
      <c r="AX24" s="34"/>
      <c r="AY24" s="34"/>
      <c r="AZ24" s="34"/>
      <c r="BA24" s="34"/>
      <c r="BB24" s="34"/>
      <c r="BC24" s="2"/>
      <c r="BD24" s="2"/>
      <c r="BE24" s="2"/>
      <c r="BF24" s="2"/>
      <c r="BG24" s="2"/>
    </row>
    <row r="25" spans="1:75" ht="18" customHeight="1" x14ac:dyDescent="0.3">
      <c r="A25" s="25" t="s">
        <v>41</v>
      </c>
      <c r="B25" s="2" t="s">
        <v>49</v>
      </c>
      <c r="C25" s="35">
        <v>2377</v>
      </c>
      <c r="D25" s="35">
        <v>2089.1999999999998</v>
      </c>
      <c r="E25" s="35">
        <v>2026.3</v>
      </c>
      <c r="F25" s="35">
        <v>1770</v>
      </c>
      <c r="G25" s="35">
        <v>2018.7999999999997</v>
      </c>
      <c r="H25" s="35">
        <v>2000.5</v>
      </c>
      <c r="I25" s="35">
        <v>1905.1999999999998</v>
      </c>
      <c r="J25" s="35">
        <v>2089.3000000000002</v>
      </c>
      <c r="K25" s="54">
        <v>2209.1999999999998</v>
      </c>
      <c r="L25" s="18"/>
      <c r="M25" s="18"/>
      <c r="N25" s="25" t="s">
        <v>41</v>
      </c>
      <c r="O25" s="2" t="s">
        <v>49</v>
      </c>
      <c r="P25" s="30">
        <v>578.20000000000005</v>
      </c>
      <c r="Q25" s="30">
        <v>589.29999999999995</v>
      </c>
      <c r="R25" s="30">
        <v>560</v>
      </c>
      <c r="S25" s="30">
        <v>525.29999999999995</v>
      </c>
      <c r="T25" s="30">
        <v>468.7</v>
      </c>
      <c r="U25" s="30">
        <v>563</v>
      </c>
      <c r="V25" s="30">
        <v>532.19999999999982</v>
      </c>
      <c r="W25" s="30">
        <v>524.4</v>
      </c>
      <c r="X25" s="30">
        <v>539.9</v>
      </c>
      <c r="Y25" s="30">
        <v>477.2</v>
      </c>
      <c r="Z25" s="30">
        <v>484.79999999999995</v>
      </c>
      <c r="AA25" s="30">
        <v>409.1</v>
      </c>
      <c r="AB25" s="30">
        <v>419.9</v>
      </c>
      <c r="AC25" s="30">
        <v>453.2</v>
      </c>
      <c r="AD25" s="30">
        <v>487.79999999999995</v>
      </c>
      <c r="AE25" s="30">
        <v>477.2</v>
      </c>
      <c r="AF25" s="30">
        <v>509.4</v>
      </c>
      <c r="AG25" s="30">
        <v>517.79999999999995</v>
      </c>
      <c r="AH25" s="30">
        <v>514.4</v>
      </c>
      <c r="AI25" s="30">
        <v>510.9</v>
      </c>
      <c r="AJ25" s="30">
        <v>508</v>
      </c>
      <c r="AK25" s="30">
        <v>475.4</v>
      </c>
      <c r="AL25" s="30">
        <v>506.2</v>
      </c>
      <c r="AM25" s="30">
        <v>478</v>
      </c>
      <c r="AN25" s="30">
        <v>455.9</v>
      </c>
      <c r="AO25" s="30">
        <v>468.9</v>
      </c>
      <c r="AP25" s="30">
        <v>502.4</v>
      </c>
      <c r="AQ25" s="30">
        <v>476.8</v>
      </c>
      <c r="AR25" s="30">
        <v>460.6</v>
      </c>
      <c r="AS25" s="30">
        <v>537.9</v>
      </c>
      <c r="AT25" s="30">
        <v>614</v>
      </c>
      <c r="AU25" s="30">
        <v>596.70000000000005</v>
      </c>
      <c r="AV25" s="30"/>
      <c r="AW25" s="33" t="s">
        <v>49</v>
      </c>
      <c r="AX25" s="34"/>
      <c r="AY25" s="34"/>
      <c r="AZ25" s="34"/>
      <c r="BA25" s="34"/>
      <c r="BB25" s="34"/>
      <c r="BC25" s="2"/>
      <c r="BD25" s="2"/>
      <c r="BE25" s="2"/>
      <c r="BF25" s="2"/>
      <c r="BG25" s="2"/>
    </row>
    <row r="26" spans="1:75" ht="18" customHeight="1" thickBot="1" x14ac:dyDescent="0.35">
      <c r="A26" s="25"/>
      <c r="B26" s="18" t="s">
        <v>78</v>
      </c>
      <c r="C26" s="55">
        <f>SUM(C23:C25)</f>
        <v>24719.5</v>
      </c>
      <c r="D26" s="55">
        <f>SUM(D23:D25)</f>
        <v>26508.600000000002</v>
      </c>
      <c r="E26" s="55">
        <f t="shared" ref="E26:H26" si="15">SUM(E23:E25)</f>
        <v>23517.999999999996</v>
      </c>
      <c r="F26" s="55">
        <f t="shared" si="15"/>
        <v>29060.6</v>
      </c>
      <c r="G26" s="55">
        <f t="shared" si="15"/>
        <v>32250.3</v>
      </c>
      <c r="H26" s="55">
        <f t="shared" si="15"/>
        <v>35975.599999999999</v>
      </c>
      <c r="I26" s="55">
        <f>SUM(I23:I25)</f>
        <v>36176.1</v>
      </c>
      <c r="J26" s="55">
        <f>SUM(J23:J25)</f>
        <v>37184.400000000001</v>
      </c>
      <c r="K26" s="55">
        <f>SUM(K23:K25)</f>
        <v>37701.699999999997</v>
      </c>
      <c r="L26" s="36"/>
      <c r="M26" s="36"/>
      <c r="N26" s="25"/>
      <c r="O26" s="18" t="s">
        <v>78</v>
      </c>
      <c r="P26" s="56">
        <f>SUM(P23:P25)</f>
        <v>6031.8</v>
      </c>
      <c r="Q26" s="56">
        <f>SUM(Q23:Q25)</f>
        <v>6310.3</v>
      </c>
      <c r="R26" s="56">
        <f>SUM(R23:R25)</f>
        <v>6303.7000000000007</v>
      </c>
      <c r="S26" s="56">
        <f t="shared" ref="S26:AU26" si="16">SUM(S23:S25)</f>
        <v>6632.7000000000007</v>
      </c>
      <c r="T26" s="56">
        <f t="shared" si="16"/>
        <v>6305.9</v>
      </c>
      <c r="U26" s="56">
        <f t="shared" si="16"/>
        <v>6823</v>
      </c>
      <c r="V26" s="56">
        <f t="shared" si="16"/>
        <v>6747.0000000000018</v>
      </c>
      <c r="W26" s="56">
        <f t="shared" si="16"/>
        <v>7097.0999999999995</v>
      </c>
      <c r="X26" s="56">
        <f t="shared" si="16"/>
        <v>5995.7</v>
      </c>
      <c r="Y26" s="56">
        <f t="shared" si="16"/>
        <v>4222.1000000000004</v>
      </c>
      <c r="Z26" s="56">
        <f t="shared" si="16"/>
        <v>6203.0999999999985</v>
      </c>
      <c r="AA26" s="56">
        <f t="shared" si="16"/>
        <v>6749.4000000000005</v>
      </c>
      <c r="AB26" s="56">
        <f t="shared" si="16"/>
        <v>6668</v>
      </c>
      <c r="AC26" s="56">
        <f t="shared" si="16"/>
        <v>7496.5</v>
      </c>
      <c r="AD26" s="56">
        <f t="shared" si="16"/>
        <v>8146.7</v>
      </c>
      <c r="AE26" s="56">
        <f t="shared" si="16"/>
        <v>8050.4</v>
      </c>
      <c r="AF26" s="56">
        <f t="shared" si="16"/>
        <v>7635.5999999999995</v>
      </c>
      <c r="AG26" s="56">
        <f t="shared" si="16"/>
        <v>8150.1</v>
      </c>
      <c r="AH26" s="56">
        <f t="shared" si="16"/>
        <v>8414.1999999999989</v>
      </c>
      <c r="AI26" s="56">
        <f t="shared" si="16"/>
        <v>8713.9</v>
      </c>
      <c r="AJ26" s="56">
        <f t="shared" si="16"/>
        <v>8719.7999999999993</v>
      </c>
      <c r="AK26" s="56">
        <f t="shared" si="16"/>
        <v>9168.2999999999993</v>
      </c>
      <c r="AL26" s="56">
        <f t="shared" si="16"/>
        <v>9373.6</v>
      </c>
      <c r="AM26" s="56">
        <f t="shared" si="16"/>
        <v>9425.2999999999993</v>
      </c>
      <c r="AN26" s="56">
        <f t="shared" si="16"/>
        <v>8563</v>
      </c>
      <c r="AO26" s="56">
        <f t="shared" si="16"/>
        <v>9113.9</v>
      </c>
      <c r="AP26" s="56">
        <f t="shared" si="16"/>
        <v>9073.9</v>
      </c>
      <c r="AQ26" s="56">
        <f t="shared" si="16"/>
        <v>9397.7999999999993</v>
      </c>
      <c r="AR26" s="56">
        <f t="shared" si="16"/>
        <v>8761.6</v>
      </c>
      <c r="AS26" s="56">
        <f t="shared" si="16"/>
        <v>9456</v>
      </c>
      <c r="AT26" s="56">
        <f t="shared" si="16"/>
        <v>9569</v>
      </c>
      <c r="AU26" s="56">
        <f t="shared" si="16"/>
        <v>9915.1</v>
      </c>
      <c r="AV26" s="34"/>
      <c r="AW26" s="8" t="s">
        <v>78</v>
      </c>
      <c r="AX26" s="34"/>
      <c r="AY26" s="34"/>
      <c r="AZ26" s="34"/>
      <c r="BA26" s="34"/>
      <c r="BB26" s="34"/>
      <c r="BC26" s="2"/>
      <c r="BD26" s="2"/>
      <c r="BE26" s="2"/>
      <c r="BF26" s="2"/>
      <c r="BG26" s="2"/>
    </row>
    <row r="27" spans="1:75" ht="18" customHeight="1" thickTop="1" x14ac:dyDescent="0.3">
      <c r="A27" s="25"/>
      <c r="B27" s="57" t="s">
        <v>79</v>
      </c>
      <c r="C27" s="2"/>
      <c r="D27" s="2"/>
      <c r="E27" s="2"/>
      <c r="F27" s="2"/>
      <c r="G27" s="2"/>
      <c r="H27" s="2"/>
      <c r="I27"/>
      <c r="J27" s="57"/>
      <c r="K27" s="57"/>
      <c r="L27" s="57"/>
      <c r="M27" s="57"/>
      <c r="N27" s="25"/>
      <c r="O27" s="57" t="s">
        <v>79</v>
      </c>
      <c r="P27" s="30"/>
      <c r="Q27" s="30"/>
      <c r="R27" s="30"/>
      <c r="S27" s="30"/>
      <c r="T27" s="30"/>
      <c r="U27" s="30"/>
      <c r="V27" s="30"/>
      <c r="W27" s="30"/>
      <c r="X27" s="30"/>
      <c r="Y27" s="30"/>
      <c r="Z27" s="30"/>
      <c r="AA27" s="30"/>
      <c r="AB27" s="30"/>
      <c r="AC27" s="30"/>
      <c r="AD27" s="30"/>
      <c r="AE27" s="30"/>
      <c r="AF27" s="2"/>
      <c r="AG27" s="2"/>
      <c r="AH27" s="30"/>
      <c r="AI27" s="30"/>
      <c r="AJ27" s="2"/>
      <c r="AK27" s="2"/>
      <c r="AL27" s="2"/>
      <c r="AM27" s="2"/>
      <c r="AN27" s="2"/>
      <c r="AO27" s="2"/>
      <c r="AP27" s="2"/>
      <c r="AQ27" s="2"/>
      <c r="AR27" s="2"/>
      <c r="AS27" s="2"/>
      <c r="AT27" s="2"/>
      <c r="AU27" s="2"/>
      <c r="AV27" s="2"/>
      <c r="AW27" s="58"/>
      <c r="AX27" s="2"/>
      <c r="AY27" s="34"/>
      <c r="AZ27" s="34"/>
      <c r="BA27" s="34"/>
      <c r="BB27" s="34"/>
      <c r="BC27" s="2"/>
      <c r="BD27" s="2"/>
      <c r="BE27" s="2"/>
      <c r="BF27" s="2"/>
      <c r="BG27" s="2"/>
    </row>
    <row r="28" spans="1:75" ht="18" customHeight="1" x14ac:dyDescent="0.3">
      <c r="A28" s="25"/>
      <c r="B28" s="2"/>
      <c r="C28" s="2"/>
      <c r="D28" s="2"/>
      <c r="E28" s="2"/>
      <c r="F28" s="2"/>
      <c r="G28" s="2"/>
      <c r="H28" s="2"/>
      <c r="I28"/>
      <c r="J28" s="2"/>
      <c r="K28" s="2"/>
      <c r="L28" s="2"/>
      <c r="M28" s="2"/>
      <c r="N28" s="25"/>
      <c r="O28" s="2"/>
      <c r="P28" s="30"/>
      <c r="Q28" s="30"/>
      <c r="R28" s="30"/>
      <c r="S28" s="24"/>
      <c r="T28" s="24"/>
      <c r="U28" s="24"/>
      <c r="V28" s="24"/>
      <c r="W28" s="24"/>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33"/>
      <c r="AX28" s="2"/>
      <c r="AY28" s="34"/>
      <c r="AZ28" s="34"/>
      <c r="BA28" s="34"/>
      <c r="BB28" s="24"/>
      <c r="BC28" s="2"/>
    </row>
    <row r="29" spans="1:75" ht="18" customHeight="1" x14ac:dyDescent="0.3">
      <c r="A29" s="18" t="s">
        <v>75</v>
      </c>
      <c r="B29" s="9" t="s">
        <v>80</v>
      </c>
      <c r="C29" s="9">
        <v>2018</v>
      </c>
      <c r="D29" s="9">
        <v>2019</v>
      </c>
      <c r="E29" s="9">
        <v>2020</v>
      </c>
      <c r="F29" s="10">
        <v>2021</v>
      </c>
      <c r="G29" s="11">
        <v>2022</v>
      </c>
      <c r="H29" s="12">
        <v>2023</v>
      </c>
      <c r="I29" s="13">
        <v>2024</v>
      </c>
      <c r="J29" s="14">
        <v>2025</v>
      </c>
      <c r="K29" s="15" t="s">
        <v>7</v>
      </c>
      <c r="L29" s="9"/>
      <c r="M29" s="9"/>
      <c r="N29" s="18" t="s">
        <v>75</v>
      </c>
      <c r="O29" s="9" t="s">
        <v>80</v>
      </c>
      <c r="P29" s="18" t="s">
        <v>9</v>
      </c>
      <c r="Q29" s="18" t="s">
        <v>10</v>
      </c>
      <c r="R29" s="19" t="s">
        <v>11</v>
      </c>
      <c r="S29" s="18" t="s">
        <v>12</v>
      </c>
      <c r="T29" s="18" t="s">
        <v>13</v>
      </c>
      <c r="U29" s="18" t="s">
        <v>14</v>
      </c>
      <c r="V29" s="19" t="s">
        <v>15</v>
      </c>
      <c r="W29" s="18" t="s">
        <v>16</v>
      </c>
      <c r="X29" s="18" t="s">
        <v>17</v>
      </c>
      <c r="Y29" s="18" t="s">
        <v>18</v>
      </c>
      <c r="Z29" s="19" t="s">
        <v>19</v>
      </c>
      <c r="AA29" s="18" t="s">
        <v>20</v>
      </c>
      <c r="AB29" s="18" t="s">
        <v>21</v>
      </c>
      <c r="AC29" s="18" t="s">
        <v>22</v>
      </c>
      <c r="AD29" s="19" t="s">
        <v>23</v>
      </c>
      <c r="AE29" s="18" t="s">
        <v>24</v>
      </c>
      <c r="AF29" s="18" t="s">
        <v>25</v>
      </c>
      <c r="AG29" s="18" t="s">
        <v>26</v>
      </c>
      <c r="AH29" s="19" t="s">
        <v>77</v>
      </c>
      <c r="AI29" s="18" t="s">
        <v>28</v>
      </c>
      <c r="AJ29" s="18" t="s">
        <v>29</v>
      </c>
      <c r="AK29" s="18" t="s">
        <v>30</v>
      </c>
      <c r="AL29" s="19" t="s">
        <v>31</v>
      </c>
      <c r="AM29" s="18" t="s">
        <v>32</v>
      </c>
      <c r="AN29" s="20" t="s">
        <v>33</v>
      </c>
      <c r="AO29" s="18" t="s">
        <v>34</v>
      </c>
      <c r="AP29" s="19" t="s">
        <v>35</v>
      </c>
      <c r="AQ29" s="18" t="s">
        <v>36</v>
      </c>
      <c r="AR29" s="20" t="s">
        <v>37</v>
      </c>
      <c r="AS29" s="18" t="s">
        <v>38</v>
      </c>
      <c r="AT29" s="19" t="s">
        <v>39</v>
      </c>
      <c r="AU29" s="18" t="s">
        <v>40</v>
      </c>
      <c r="AV29" s="19"/>
      <c r="AW29" s="8" t="s">
        <v>80</v>
      </c>
      <c r="AX29" s="21"/>
      <c r="AY29" s="9"/>
      <c r="AZ29" s="9"/>
      <c r="BA29" s="59"/>
      <c r="BB29" s="18"/>
    </row>
    <row r="30" spans="1:75" ht="18" customHeight="1" x14ac:dyDescent="0.3">
      <c r="A30" s="25" t="s">
        <v>41</v>
      </c>
      <c r="B30" s="2" t="s">
        <v>53</v>
      </c>
      <c r="C30" s="35">
        <v>16748.599999999999</v>
      </c>
      <c r="D30" s="35">
        <v>18259</v>
      </c>
      <c r="E30" s="35">
        <v>16379.2</v>
      </c>
      <c r="F30" s="35">
        <v>20447.900000000001</v>
      </c>
      <c r="G30" s="35">
        <v>23370.799999999999</v>
      </c>
      <c r="H30" s="35">
        <v>26569.599999999999</v>
      </c>
      <c r="I30" s="35">
        <v>27009.5</v>
      </c>
      <c r="J30" s="35">
        <v>27373.1</v>
      </c>
      <c r="K30" s="35">
        <v>27581.7</v>
      </c>
      <c r="L30" s="2"/>
      <c r="M30" s="2"/>
      <c r="N30" s="25" t="s">
        <v>41</v>
      </c>
      <c r="O30" s="2" t="s">
        <v>53</v>
      </c>
      <c r="P30" s="60">
        <v>3996.3</v>
      </c>
      <c r="Q30" s="60">
        <v>4231</v>
      </c>
      <c r="R30" s="30">
        <v>4254</v>
      </c>
      <c r="S30" s="30">
        <v>4612.5</v>
      </c>
      <c r="T30" s="30">
        <v>4305.8999999999996</v>
      </c>
      <c r="U30" s="30">
        <v>4671.8</v>
      </c>
      <c r="V30" s="30">
        <v>4668.7999999999993</v>
      </c>
      <c r="W30" s="30">
        <v>5010.8999999999996</v>
      </c>
      <c r="X30" s="30">
        <v>4330</v>
      </c>
      <c r="Y30" s="30">
        <v>2805.5</v>
      </c>
      <c r="Z30" s="30">
        <v>4149.8000000000011</v>
      </c>
      <c r="AA30" s="30">
        <v>4675.6000000000004</v>
      </c>
      <c r="AB30" s="30">
        <v>4664.6000000000004</v>
      </c>
      <c r="AC30" s="30">
        <v>5400.3</v>
      </c>
      <c r="AD30" s="30">
        <v>5707.4000000000015</v>
      </c>
      <c r="AE30" s="30">
        <v>5723.3</v>
      </c>
      <c r="AF30" s="30">
        <v>5445.7</v>
      </c>
      <c r="AG30" s="30">
        <v>6058.4</v>
      </c>
      <c r="AH30" s="30">
        <v>6134.4</v>
      </c>
      <c r="AI30" s="30">
        <v>6551.3</v>
      </c>
      <c r="AJ30" s="30">
        <v>6380.6</v>
      </c>
      <c r="AK30" s="30">
        <v>6737.8</v>
      </c>
      <c r="AL30" s="30">
        <v>6900</v>
      </c>
      <c r="AM30" s="30">
        <v>7120.7</v>
      </c>
      <c r="AN30" s="30">
        <v>6380</v>
      </c>
      <c r="AO30" s="30">
        <v>6816.7</v>
      </c>
      <c r="AP30" s="30">
        <v>6691.9</v>
      </c>
      <c r="AQ30" s="30">
        <v>7071.9</v>
      </c>
      <c r="AR30" s="30">
        <v>6472.7</v>
      </c>
      <c r="AS30" s="30">
        <v>6927</v>
      </c>
      <c r="AT30" s="30">
        <v>6901.5</v>
      </c>
      <c r="AU30" s="30">
        <v>7280.5</v>
      </c>
      <c r="AV30" s="30"/>
      <c r="AW30" s="33" t="s">
        <v>53</v>
      </c>
      <c r="AX30" s="60"/>
      <c r="AY30" s="60"/>
      <c r="AZ30" s="60"/>
      <c r="BA30" s="34"/>
      <c r="BB30" s="34"/>
    </row>
    <row r="31" spans="1:75" ht="18" customHeight="1" x14ac:dyDescent="0.3">
      <c r="A31" s="25" t="s">
        <v>41</v>
      </c>
      <c r="B31" s="2" t="s">
        <v>56</v>
      </c>
      <c r="C31" s="35">
        <v>5551.2</v>
      </c>
      <c r="D31" s="35">
        <v>6190.7</v>
      </c>
      <c r="E31" s="35">
        <v>5147.6000000000004</v>
      </c>
      <c r="F31" s="35">
        <v>6921.6</v>
      </c>
      <c r="G31" s="35">
        <v>6940.1</v>
      </c>
      <c r="H31" s="35">
        <v>7487.6</v>
      </c>
      <c r="I31" s="35">
        <v>7338.9</v>
      </c>
      <c r="J31" s="35">
        <v>7820</v>
      </c>
      <c r="K31" s="35">
        <v>8013.6</v>
      </c>
      <c r="L31" s="2"/>
      <c r="M31" s="2"/>
      <c r="N31" s="25" t="s">
        <v>41</v>
      </c>
      <c r="O31" s="2" t="s">
        <v>56</v>
      </c>
      <c r="P31" s="60">
        <v>1186.4000000000001</v>
      </c>
      <c r="Q31" s="60">
        <v>1504</v>
      </c>
      <c r="R31" s="30">
        <v>1482</v>
      </c>
      <c r="S31" s="30">
        <v>1504</v>
      </c>
      <c r="T31" s="30">
        <v>1289.0999999999999</v>
      </c>
      <c r="U31" s="30">
        <v>1336.9</v>
      </c>
      <c r="V31" s="30">
        <v>2060.6999999999998</v>
      </c>
      <c r="W31" s="30">
        <v>1571.1</v>
      </c>
      <c r="X31" s="30">
        <v>1134.5999999999999</v>
      </c>
      <c r="Y31" s="30">
        <v>949.6</v>
      </c>
      <c r="Z31" s="30">
        <v>1575.3000000000006</v>
      </c>
      <c r="AA31" s="30">
        <v>1681.9</v>
      </c>
      <c r="AB31" s="30">
        <v>1610.9</v>
      </c>
      <c r="AC31" s="30">
        <v>1658.4</v>
      </c>
      <c r="AD31" s="30">
        <v>1970.3999999999996</v>
      </c>
      <c r="AE31" s="30">
        <v>1875.9</v>
      </c>
      <c r="AF31" s="30">
        <v>1702.4</v>
      </c>
      <c r="AG31" s="30">
        <v>1584.7</v>
      </c>
      <c r="AH31" s="30">
        <v>1777</v>
      </c>
      <c r="AI31" s="30">
        <v>1680.1</v>
      </c>
      <c r="AJ31" s="30">
        <v>1854.8</v>
      </c>
      <c r="AK31" s="30">
        <v>1972.9</v>
      </c>
      <c r="AL31" s="30">
        <v>1979.9</v>
      </c>
      <c r="AM31" s="30">
        <v>1846.3</v>
      </c>
      <c r="AN31" s="30">
        <v>1757.3</v>
      </c>
      <c r="AO31" s="30">
        <v>1842.1</v>
      </c>
      <c r="AP31" s="30">
        <v>1893.2</v>
      </c>
      <c r="AQ31" s="30">
        <v>1871.3</v>
      </c>
      <c r="AR31" s="30">
        <v>1867.1</v>
      </c>
      <c r="AS31" s="30">
        <v>2010.7</v>
      </c>
      <c r="AT31" s="30">
        <v>2070.9</v>
      </c>
      <c r="AU31" s="30">
        <v>2064.9</v>
      </c>
      <c r="AV31" s="30"/>
      <c r="AW31" s="33" t="s">
        <v>56</v>
      </c>
      <c r="AX31" s="60"/>
      <c r="AY31" s="60"/>
      <c r="AZ31" s="60"/>
      <c r="BA31" s="34"/>
      <c r="BB31" s="34"/>
    </row>
    <row r="32" spans="1:75" ht="18" customHeight="1" x14ac:dyDescent="0.3">
      <c r="A32" s="25" t="s">
        <v>41</v>
      </c>
      <c r="B32" s="2" t="s">
        <v>58</v>
      </c>
      <c r="C32" s="35">
        <v>2420</v>
      </c>
      <c r="D32" s="35">
        <v>2058.6</v>
      </c>
      <c r="E32" s="35">
        <v>1991.2</v>
      </c>
      <c r="F32" s="35">
        <v>1691.1</v>
      </c>
      <c r="G32" s="35">
        <v>1939.3999999999999</v>
      </c>
      <c r="H32" s="35">
        <v>1918.3999999999999</v>
      </c>
      <c r="I32" s="35">
        <v>1827.8</v>
      </c>
      <c r="J32" s="35">
        <v>1991.3</v>
      </c>
      <c r="K32" s="54">
        <v>2106.8000000000002</v>
      </c>
      <c r="L32" s="2"/>
      <c r="M32" s="2"/>
      <c r="N32" s="25" t="s">
        <v>41</v>
      </c>
      <c r="O32" s="2" t="s">
        <v>58</v>
      </c>
      <c r="P32" s="30">
        <v>849.09999999999945</v>
      </c>
      <c r="Q32" s="30">
        <v>575</v>
      </c>
      <c r="R32" s="30">
        <v>568</v>
      </c>
      <c r="S32" s="30">
        <v>516.19999999999982</v>
      </c>
      <c r="T32" s="30">
        <v>710.89999999999964</v>
      </c>
      <c r="U32" s="30">
        <v>814.29999999999927</v>
      </c>
      <c r="V32" s="30">
        <v>17.500000000000909</v>
      </c>
      <c r="W32" s="30">
        <v>515.10000000000036</v>
      </c>
      <c r="X32" s="30">
        <v>531.09999999999945</v>
      </c>
      <c r="Y32" s="30">
        <v>467.00000000000045</v>
      </c>
      <c r="Z32" s="30">
        <v>477.99999999999818</v>
      </c>
      <c r="AA32" s="30">
        <v>391.89999999999964</v>
      </c>
      <c r="AB32" s="30">
        <v>392.5</v>
      </c>
      <c r="AC32" s="30">
        <v>437.79999999999927</v>
      </c>
      <c r="AD32" s="30">
        <v>468.5</v>
      </c>
      <c r="AE32" s="30">
        <v>451.19999999999891</v>
      </c>
      <c r="AF32" s="30">
        <f>487.4</f>
        <v>487.4</v>
      </c>
      <c r="AG32" s="30">
        <f>506.5</f>
        <v>506.5</v>
      </c>
      <c r="AH32" s="30">
        <v>502.5</v>
      </c>
      <c r="AI32" s="30">
        <v>483</v>
      </c>
      <c r="AJ32" s="30">
        <v>485</v>
      </c>
      <c r="AK32" s="30">
        <v>457</v>
      </c>
      <c r="AL32" s="30">
        <v>494</v>
      </c>
      <c r="AM32" s="30">
        <v>458</v>
      </c>
      <c r="AN32" s="30">
        <v>425.7</v>
      </c>
      <c r="AO32" s="30">
        <v>455</v>
      </c>
      <c r="AP32" s="30">
        <v>489</v>
      </c>
      <c r="AQ32" s="30">
        <v>455</v>
      </c>
      <c r="AR32" s="30">
        <v>421.8</v>
      </c>
      <c r="AS32" s="30">
        <v>518</v>
      </c>
      <c r="AT32" s="30">
        <v>597</v>
      </c>
      <c r="AU32" s="30">
        <v>570</v>
      </c>
      <c r="AV32" s="30"/>
      <c r="AW32" s="33" t="s">
        <v>58</v>
      </c>
      <c r="AX32" s="34"/>
      <c r="AY32" s="34"/>
      <c r="AZ32" s="34"/>
      <c r="BA32" s="34"/>
      <c r="BB32" s="34"/>
    </row>
    <row r="33" spans="1:63" ht="18" customHeight="1" thickBot="1" x14ac:dyDescent="0.35">
      <c r="A33" s="25"/>
      <c r="B33" s="18" t="s">
        <v>78</v>
      </c>
      <c r="C33" s="55">
        <f>SUM(C30:C32)</f>
        <v>24719.8</v>
      </c>
      <c r="D33" s="55">
        <f>SUM(D30:D32)</f>
        <v>26508.3</v>
      </c>
      <c r="E33" s="55">
        <f t="shared" ref="E33:G33" si="17">SUM(E30:E32)</f>
        <v>23518.000000000004</v>
      </c>
      <c r="F33" s="55">
        <f t="shared" si="17"/>
        <v>29060.6</v>
      </c>
      <c r="G33" s="55">
        <f t="shared" si="17"/>
        <v>32250.300000000003</v>
      </c>
      <c r="H33" s="55">
        <f>SUM(H30:H32)</f>
        <v>35975.599999999999</v>
      </c>
      <c r="I33" s="55">
        <f t="shared" ref="I33:J33" si="18">SUM(I30:I32)</f>
        <v>36176.200000000004</v>
      </c>
      <c r="J33" s="55">
        <f t="shared" si="18"/>
        <v>37184.400000000001</v>
      </c>
      <c r="K33" s="55">
        <f>SUM(K30:K32)</f>
        <v>37702.100000000006</v>
      </c>
      <c r="L33" s="8"/>
      <c r="M33" s="8"/>
      <c r="N33" s="25"/>
      <c r="O33" s="18" t="s">
        <v>78</v>
      </c>
      <c r="P33" s="56">
        <f t="shared" ref="P33:AF33" si="19">SUM(P30:P32)</f>
        <v>6031.8</v>
      </c>
      <c r="Q33" s="56">
        <f t="shared" si="19"/>
        <v>6310</v>
      </c>
      <c r="R33" s="56">
        <f t="shared" si="19"/>
        <v>6304</v>
      </c>
      <c r="S33" s="56">
        <f t="shared" si="19"/>
        <v>6632.7</v>
      </c>
      <c r="T33" s="56">
        <f t="shared" si="19"/>
        <v>6305.9</v>
      </c>
      <c r="U33" s="56">
        <f t="shared" si="19"/>
        <v>6823</v>
      </c>
      <c r="V33" s="56">
        <f t="shared" si="19"/>
        <v>6747</v>
      </c>
      <c r="W33" s="56">
        <f t="shared" si="19"/>
        <v>7097.1</v>
      </c>
      <c r="X33" s="56">
        <f t="shared" si="19"/>
        <v>5995.7</v>
      </c>
      <c r="Y33" s="56">
        <f t="shared" si="19"/>
        <v>4222.1000000000004</v>
      </c>
      <c r="Z33" s="56">
        <f t="shared" si="19"/>
        <v>6203.1</v>
      </c>
      <c r="AA33" s="56">
        <f t="shared" si="19"/>
        <v>6749.4</v>
      </c>
      <c r="AB33" s="56">
        <f t="shared" si="19"/>
        <v>6668</v>
      </c>
      <c r="AC33" s="56">
        <f t="shared" si="19"/>
        <v>7496.5</v>
      </c>
      <c r="AD33" s="56">
        <f t="shared" si="19"/>
        <v>8146.3000000000011</v>
      </c>
      <c r="AE33" s="56">
        <f t="shared" si="19"/>
        <v>8050.4</v>
      </c>
      <c r="AF33" s="56">
        <f t="shared" si="19"/>
        <v>7635.5</v>
      </c>
      <c r="AG33" s="56">
        <f>SUM(AG30:AG32)</f>
        <v>8149.5999999999995</v>
      </c>
      <c r="AH33" s="56">
        <f>SUM(AH30:AH32)</f>
        <v>8413.9</v>
      </c>
      <c r="AI33" s="56">
        <f t="shared" ref="AI33:AJ33" si="20">SUM(AI30:AI32)</f>
        <v>8714.4</v>
      </c>
      <c r="AJ33" s="56">
        <f t="shared" si="20"/>
        <v>8720.4</v>
      </c>
      <c r="AK33" s="56">
        <f>SUM(AK30:AK32)</f>
        <v>9167.7000000000007</v>
      </c>
      <c r="AL33" s="56">
        <f>SUM(AL30:AL32)</f>
        <v>9373.9</v>
      </c>
      <c r="AM33" s="56">
        <f t="shared" ref="AM33:AN33" si="21">SUM(AM30:AM32)</f>
        <v>9425</v>
      </c>
      <c r="AN33" s="56">
        <f t="shared" si="21"/>
        <v>8563</v>
      </c>
      <c r="AO33" s="56">
        <f>SUM(AO30:AO32)</f>
        <v>9113.7999999999993</v>
      </c>
      <c r="AP33" s="56">
        <f>SUM(AP30:AP32)</f>
        <v>9074.1</v>
      </c>
      <c r="AQ33" s="56">
        <f t="shared" ref="AQ33:AR33" si="22">SUM(AQ30:AQ32)</f>
        <v>9398.1999999999989</v>
      </c>
      <c r="AR33" s="56">
        <f t="shared" si="22"/>
        <v>8761.5999999999985</v>
      </c>
      <c r="AS33" s="56">
        <f>SUM(AS30:AS32)</f>
        <v>9455.7000000000007</v>
      </c>
      <c r="AT33" s="56">
        <f>SUM(AT30:AT32)</f>
        <v>9569.4</v>
      </c>
      <c r="AU33" s="56">
        <f t="shared" ref="AU33" si="23">SUM(AU30:AU32)</f>
        <v>9915.4</v>
      </c>
      <c r="AV33" s="34"/>
      <c r="AW33" s="8" t="s">
        <v>78</v>
      </c>
      <c r="AX33" s="34"/>
      <c r="AY33" s="34"/>
      <c r="AZ33" s="34"/>
      <c r="BA33" s="34"/>
      <c r="BB33" s="34"/>
    </row>
    <row r="34" spans="1:63" ht="18" customHeight="1" thickTop="1" x14ac:dyDescent="0.3">
      <c r="A34"/>
      <c r="B34" s="2" t="s">
        <v>81</v>
      </c>
      <c r="C34" s="2"/>
      <c r="D34" s="2"/>
      <c r="E34" s="2"/>
      <c r="F34" s="2"/>
      <c r="G34" s="2"/>
      <c r="H34" s="2"/>
      <c r="I34"/>
      <c r="J34" s="2"/>
      <c r="K34" s="2"/>
      <c r="L34" s="2"/>
      <c r="M34" s="2"/>
      <c r="N34"/>
      <c r="O34" s="2" t="s">
        <v>81</v>
      </c>
      <c r="P34"/>
      <c r="Q34"/>
      <c r="R34"/>
      <c r="S34"/>
      <c r="T34"/>
      <c r="U34"/>
      <c r="V34"/>
      <c r="W34" s="61"/>
      <c r="X34"/>
      <c r="Y34"/>
      <c r="Z34"/>
      <c r="AA34"/>
      <c r="AB34"/>
      <c r="AC34"/>
      <c r="AD34"/>
      <c r="AE34"/>
      <c r="AF34"/>
      <c r="AG34"/>
      <c r="AH34" s="61"/>
      <c r="AI34"/>
      <c r="AJ34" s="61"/>
      <c r="AK34" s="61"/>
      <c r="AL34"/>
      <c r="AM34"/>
      <c r="AN34" s="62"/>
      <c r="AO34" s="61"/>
      <c r="AR34" s="62"/>
      <c r="AS34" s="61"/>
      <c r="AW34" s="33"/>
    </row>
    <row r="35" spans="1:63" ht="18" customHeight="1" x14ac:dyDescent="0.3">
      <c r="A35"/>
      <c r="B35"/>
      <c r="C35" s="2"/>
      <c r="D35" s="2"/>
      <c r="E35" s="2"/>
      <c r="F35" s="2"/>
      <c r="G35" s="2"/>
      <c r="H35" s="2"/>
      <c r="I35"/>
      <c r="J35" s="2"/>
      <c r="K35" s="2"/>
      <c r="L35" s="2"/>
      <c r="M35" s="2"/>
      <c r="N35"/>
      <c r="O35"/>
      <c r="P35"/>
      <c r="Q35"/>
      <c r="R35"/>
      <c r="S35"/>
      <c r="T35"/>
      <c r="U35"/>
      <c r="V35"/>
      <c r="W35"/>
      <c r="X35"/>
      <c r="Y35"/>
      <c r="Z35"/>
      <c r="AA35"/>
      <c r="AB35"/>
      <c r="AC35"/>
      <c r="AD35"/>
      <c r="AE35"/>
      <c r="AF35"/>
      <c r="AG35"/>
      <c r="AH35"/>
      <c r="AI35"/>
      <c r="AJ35"/>
      <c r="AK35"/>
      <c r="AL35" s="61"/>
      <c r="AM35"/>
      <c r="AN35"/>
      <c r="AO35"/>
      <c r="AP35" s="61"/>
      <c r="AT35" s="61"/>
      <c r="AV35" s="61"/>
      <c r="AW35" s="53"/>
    </row>
    <row r="36" spans="1:63" ht="18" customHeight="1" x14ac:dyDescent="0.3">
      <c r="A36" s="18" t="s">
        <v>75</v>
      </c>
      <c r="B36" s="9" t="s">
        <v>82</v>
      </c>
      <c r="C36" s="9">
        <v>2018</v>
      </c>
      <c r="D36" s="9">
        <v>2019</v>
      </c>
      <c r="E36" s="9">
        <v>2020</v>
      </c>
      <c r="F36" s="10">
        <v>2021</v>
      </c>
      <c r="G36" s="11">
        <v>2022</v>
      </c>
      <c r="H36" s="12">
        <v>2023</v>
      </c>
      <c r="I36" s="13">
        <v>2024</v>
      </c>
      <c r="J36" s="14">
        <v>2025</v>
      </c>
      <c r="K36" s="15" t="s">
        <v>7</v>
      </c>
      <c r="L36"/>
      <c r="M36"/>
      <c r="N36" s="18" t="s">
        <v>75</v>
      </c>
      <c r="O36" s="9" t="s">
        <v>82</v>
      </c>
      <c r="P36" s="18" t="s">
        <v>9</v>
      </c>
      <c r="Q36" s="18" t="s">
        <v>10</v>
      </c>
      <c r="R36" s="19" t="s">
        <v>11</v>
      </c>
      <c r="S36" s="18" t="s">
        <v>12</v>
      </c>
      <c r="T36" s="18" t="s">
        <v>13</v>
      </c>
      <c r="U36" s="18" t="s">
        <v>14</v>
      </c>
      <c r="V36" s="19" t="s">
        <v>15</v>
      </c>
      <c r="W36" s="18" t="s">
        <v>16</v>
      </c>
      <c r="X36" s="18" t="s">
        <v>17</v>
      </c>
      <c r="Y36" s="18" t="s">
        <v>18</v>
      </c>
      <c r="Z36" s="19" t="s">
        <v>19</v>
      </c>
      <c r="AA36" s="18" t="s">
        <v>20</v>
      </c>
      <c r="AB36" s="18" t="s">
        <v>21</v>
      </c>
      <c r="AC36" s="18" t="s">
        <v>22</v>
      </c>
      <c r="AD36" s="19" t="s">
        <v>23</v>
      </c>
      <c r="AE36" s="18" t="s">
        <v>24</v>
      </c>
      <c r="AF36" s="18" t="s">
        <v>25</v>
      </c>
      <c r="AG36" s="18" t="s">
        <v>26</v>
      </c>
      <c r="AH36" s="19" t="s">
        <v>77</v>
      </c>
      <c r="AI36" s="18" t="s">
        <v>28</v>
      </c>
      <c r="AJ36" s="18" t="s">
        <v>29</v>
      </c>
      <c r="AK36" s="18" t="s">
        <v>30</v>
      </c>
      <c r="AL36" s="19" t="s">
        <v>31</v>
      </c>
      <c r="AM36" s="18" t="s">
        <v>32</v>
      </c>
      <c r="AN36" s="20" t="s">
        <v>33</v>
      </c>
      <c r="AO36" s="18" t="s">
        <v>34</v>
      </c>
      <c r="AP36" s="19" t="s">
        <v>35</v>
      </c>
      <c r="AQ36" s="18" t="s">
        <v>36</v>
      </c>
      <c r="AR36" s="20" t="s">
        <v>37</v>
      </c>
      <c r="AS36" s="18" t="s">
        <v>38</v>
      </c>
      <c r="AT36" s="19" t="s">
        <v>39</v>
      </c>
      <c r="AU36" s="18" t="s">
        <v>40</v>
      </c>
      <c r="AV36" s="19"/>
      <c r="AW36" s="8" t="s">
        <v>82</v>
      </c>
      <c r="AX36" s="21"/>
      <c r="AY36" s="9"/>
      <c r="AZ36" s="9"/>
      <c r="BA36" s="1"/>
      <c r="BB36" s="18"/>
    </row>
    <row r="37" spans="1:63" ht="18" customHeight="1" x14ac:dyDescent="0.3">
      <c r="A37" s="25" t="s">
        <v>41</v>
      </c>
      <c r="B37" s="2" t="s">
        <v>60</v>
      </c>
      <c r="C37" s="35">
        <v>14463.1</v>
      </c>
      <c r="D37" s="35">
        <v>15921.2</v>
      </c>
      <c r="E37" s="35">
        <v>14337.5</v>
      </c>
      <c r="F37" s="35">
        <v>18317</v>
      </c>
      <c r="G37" s="35">
        <v>19555.3</v>
      </c>
      <c r="H37" s="35">
        <v>21684.799999999999</v>
      </c>
      <c r="I37" s="35">
        <v>21883.9</v>
      </c>
      <c r="J37" s="35">
        <v>22539.9</v>
      </c>
      <c r="K37" s="35">
        <v>22806.100000000002</v>
      </c>
      <c r="L37"/>
      <c r="M37"/>
      <c r="N37" s="25" t="s">
        <v>41</v>
      </c>
      <c r="O37" s="2" t="s">
        <v>60</v>
      </c>
      <c r="P37" s="30">
        <v>3519.8</v>
      </c>
      <c r="Q37" s="30">
        <v>3766.2</v>
      </c>
      <c r="R37" s="30">
        <v>3759.1000000000004</v>
      </c>
      <c r="S37" s="30">
        <v>3926</v>
      </c>
      <c r="T37" s="30">
        <v>3760.4</v>
      </c>
      <c r="U37" s="30">
        <v>4122.1000000000004</v>
      </c>
      <c r="V37" s="30">
        <v>4112.7000000000007</v>
      </c>
      <c r="W37" s="30">
        <v>4260.8999999999996</v>
      </c>
      <c r="X37" s="30">
        <v>3530.9</v>
      </c>
      <c r="Y37" s="30">
        <v>2628.8</v>
      </c>
      <c r="Z37" s="30">
        <v>3916.9000000000015</v>
      </c>
      <c r="AA37" s="30">
        <v>4251.8999999999996</v>
      </c>
      <c r="AB37" s="30">
        <v>4212.8</v>
      </c>
      <c r="AC37" s="30">
        <v>4753.1000000000004</v>
      </c>
      <c r="AD37" s="30">
        <v>5099.1999999999989</v>
      </c>
      <c r="AE37" s="30">
        <v>4898.3999999999996</v>
      </c>
      <c r="AF37" s="30">
        <v>4599</v>
      </c>
      <c r="AG37" s="30">
        <v>4944.6000000000004</v>
      </c>
      <c r="AH37" s="30">
        <v>5113.2999999999993</v>
      </c>
      <c r="AI37" s="30">
        <v>5173</v>
      </c>
      <c r="AJ37" s="30">
        <v>5226.8999999999996</v>
      </c>
      <c r="AK37" s="30">
        <v>5587.9</v>
      </c>
      <c r="AL37" s="27">
        <v>5697</v>
      </c>
      <c r="AM37" s="30">
        <v>5695.9</v>
      </c>
      <c r="AN37" s="30">
        <v>5160.6000000000004</v>
      </c>
      <c r="AO37" s="30">
        <v>5528</v>
      </c>
      <c r="AP37" s="27">
        <v>5499.4000000000015</v>
      </c>
      <c r="AQ37" s="30">
        <v>5678</v>
      </c>
      <c r="AR37" s="30">
        <v>5293.6</v>
      </c>
      <c r="AS37" s="30">
        <v>5752</v>
      </c>
      <c r="AT37" s="27">
        <v>5816.3000000000029</v>
      </c>
      <c r="AU37" s="30">
        <v>5944.2</v>
      </c>
      <c r="AV37" s="27"/>
      <c r="AW37" s="33" t="s">
        <v>60</v>
      </c>
      <c r="AX37" s="34"/>
      <c r="AY37" s="34"/>
      <c r="AZ37" s="34"/>
      <c r="BA37" s="34"/>
      <c r="BB37" s="34"/>
    </row>
    <row r="38" spans="1:63" ht="18" customHeight="1" x14ac:dyDescent="0.3">
      <c r="A38" s="25" t="s">
        <v>41</v>
      </c>
      <c r="B38" s="2" t="s">
        <v>62</v>
      </c>
      <c r="C38" s="35">
        <v>4397.7</v>
      </c>
      <c r="D38" s="35">
        <v>4336.3</v>
      </c>
      <c r="E38" s="35">
        <v>3799.2</v>
      </c>
      <c r="F38" s="35">
        <v>5053.3999999999996</v>
      </c>
      <c r="G38" s="35">
        <v>5804.2</v>
      </c>
      <c r="H38" s="35">
        <v>6585.1</v>
      </c>
      <c r="I38" s="35">
        <v>6749.2</v>
      </c>
      <c r="J38" s="35">
        <v>7049.9</v>
      </c>
      <c r="K38" s="35">
        <v>7140.7</v>
      </c>
      <c r="L38"/>
      <c r="M38"/>
      <c r="N38" s="25" t="s">
        <v>41</v>
      </c>
      <c r="O38" s="2" t="s">
        <v>62</v>
      </c>
      <c r="P38" s="30">
        <v>1067.0999999999999</v>
      </c>
      <c r="Q38" s="30">
        <v>1132.5999999999999</v>
      </c>
      <c r="R38" s="30">
        <v>1154.2999999999997</v>
      </c>
      <c r="S38" s="30">
        <v>1188.9000000000001</v>
      </c>
      <c r="T38" s="30">
        <v>1157.9000000000001</v>
      </c>
      <c r="U38" s="30">
        <v>1220.3</v>
      </c>
      <c r="V38" s="30">
        <v>769.19999999999982</v>
      </c>
      <c r="W38" s="30">
        <v>1281.4000000000001</v>
      </c>
      <c r="X38" s="30">
        <v>968.7</v>
      </c>
      <c r="Y38" s="30">
        <v>629.20000000000005</v>
      </c>
      <c r="Z38" s="30">
        <v>919.89999999999964</v>
      </c>
      <c r="AA38" s="30">
        <v>1140.8</v>
      </c>
      <c r="AB38" s="30">
        <v>1131.4000000000001</v>
      </c>
      <c r="AC38" s="30">
        <v>1311.2</v>
      </c>
      <c r="AD38" s="30">
        <v>1470</v>
      </c>
      <c r="AE38" s="30">
        <v>1434.6</v>
      </c>
      <c r="AF38" s="30">
        <v>1364.3</v>
      </c>
      <c r="AG38" s="30">
        <v>1472</v>
      </c>
      <c r="AH38" s="30">
        <v>1533.3000000000002</v>
      </c>
      <c r="AI38" s="30">
        <v>1565.9</v>
      </c>
      <c r="AJ38" s="30">
        <v>1590.9</v>
      </c>
      <c r="AK38" s="30">
        <v>1704.5</v>
      </c>
      <c r="AL38" s="27">
        <v>1723.8000000000002</v>
      </c>
      <c r="AM38" s="30">
        <v>1757.1</v>
      </c>
      <c r="AN38" s="30">
        <v>1583</v>
      </c>
      <c r="AO38" s="30">
        <v>1744.5</v>
      </c>
      <c r="AP38" s="27">
        <v>1664.5999999999995</v>
      </c>
      <c r="AQ38" s="30">
        <v>1790.4</v>
      </c>
      <c r="AR38" s="30">
        <v>1691.9</v>
      </c>
      <c r="AS38" s="30">
        <v>1787.5</v>
      </c>
      <c r="AT38" s="27">
        <v>1780.0999999999995</v>
      </c>
      <c r="AU38" s="30">
        <v>1881.2</v>
      </c>
      <c r="AV38" s="27"/>
      <c r="AW38" s="33" t="s">
        <v>62</v>
      </c>
      <c r="AX38" s="34"/>
      <c r="AY38" s="34"/>
      <c r="AZ38" s="34"/>
      <c r="BA38" s="34"/>
      <c r="BB38" s="34"/>
    </row>
    <row r="39" spans="1:63" ht="18" customHeight="1" x14ac:dyDescent="0.3">
      <c r="A39" s="25" t="s">
        <v>41</v>
      </c>
      <c r="B39" s="2" t="s">
        <v>65</v>
      </c>
      <c r="C39" s="35">
        <v>5858.7</v>
      </c>
      <c r="D39" s="35">
        <v>6251.1</v>
      </c>
      <c r="E39" s="35">
        <v>5381.3</v>
      </c>
      <c r="F39" s="35">
        <v>5690.2</v>
      </c>
      <c r="G39" s="35">
        <v>6890.8</v>
      </c>
      <c r="H39" s="35">
        <v>7705.7</v>
      </c>
      <c r="I39" s="35">
        <v>7543.1</v>
      </c>
      <c r="J39" s="35">
        <v>7594.2000000000007</v>
      </c>
      <c r="K39" s="54">
        <v>7755</v>
      </c>
      <c r="L39"/>
      <c r="M39"/>
      <c r="N39" s="25" t="s">
        <v>41</v>
      </c>
      <c r="O39" s="2" t="s">
        <v>65</v>
      </c>
      <c r="P39" s="30">
        <v>1444.9</v>
      </c>
      <c r="Q39" s="30">
        <v>1411.5</v>
      </c>
      <c r="R39" s="30">
        <v>1389.5999999999995</v>
      </c>
      <c r="S39" s="30">
        <v>1517.8</v>
      </c>
      <c r="T39" s="30">
        <v>1387.6</v>
      </c>
      <c r="U39" s="30">
        <v>1480.6</v>
      </c>
      <c r="V39" s="30">
        <v>1865.1000000000004</v>
      </c>
      <c r="W39" s="30">
        <v>1554.8</v>
      </c>
      <c r="X39" s="30">
        <v>1496.1</v>
      </c>
      <c r="Y39" s="30">
        <v>964.1</v>
      </c>
      <c r="Z39" s="30">
        <v>1366.3000000000006</v>
      </c>
      <c r="AA39" s="30">
        <v>1356.7</v>
      </c>
      <c r="AB39" s="30">
        <v>1323.8</v>
      </c>
      <c r="AC39" s="30">
        <v>1432.2</v>
      </c>
      <c r="AD39" s="30">
        <v>1577.5</v>
      </c>
      <c r="AE39" s="30">
        <v>1717.4</v>
      </c>
      <c r="AF39" s="30">
        <v>1672.3</v>
      </c>
      <c r="AG39" s="30">
        <v>1733.5</v>
      </c>
      <c r="AH39" s="30">
        <v>1767.6000000000004</v>
      </c>
      <c r="AI39" s="30">
        <v>1975</v>
      </c>
      <c r="AJ39" s="30">
        <v>1902</v>
      </c>
      <c r="AK39" s="30">
        <v>1875.9</v>
      </c>
      <c r="AL39" s="27">
        <v>1952.8000000000002</v>
      </c>
      <c r="AM39" s="30">
        <v>1972.3</v>
      </c>
      <c r="AN39" s="30">
        <v>1819.4</v>
      </c>
      <c r="AO39" s="30">
        <v>1841.4</v>
      </c>
      <c r="AP39" s="27">
        <v>1910</v>
      </c>
      <c r="AQ39" s="30">
        <v>1930</v>
      </c>
      <c r="AR39" s="30">
        <v>1776.1</v>
      </c>
      <c r="AS39" s="30">
        <v>1916.5</v>
      </c>
      <c r="AT39" s="27">
        <v>1972.1</v>
      </c>
      <c r="AU39" s="30">
        <v>2089.6999999999998</v>
      </c>
      <c r="AV39" s="27"/>
      <c r="AW39" s="33" t="s">
        <v>65</v>
      </c>
      <c r="AX39" s="34"/>
      <c r="AY39" s="34"/>
      <c r="AZ39" s="34"/>
      <c r="BA39" s="34"/>
      <c r="BB39" s="34"/>
    </row>
    <row r="40" spans="1:63" ht="18" customHeight="1" thickBot="1" x14ac:dyDescent="0.35">
      <c r="A40" s="25"/>
      <c r="B40" s="18" t="s">
        <v>78</v>
      </c>
      <c r="C40" s="55">
        <f>SUM(C37:C39)</f>
        <v>24719.5</v>
      </c>
      <c r="D40" s="55">
        <f>SUM(D37:D39)</f>
        <v>26508.6</v>
      </c>
      <c r="E40" s="55">
        <f t="shared" ref="E40:J40" si="24">SUM(E37:E39)</f>
        <v>23518</v>
      </c>
      <c r="F40" s="55">
        <f t="shared" si="24"/>
        <v>29060.600000000002</v>
      </c>
      <c r="G40" s="55">
        <f t="shared" si="24"/>
        <v>32250.3</v>
      </c>
      <c r="H40" s="55">
        <f t="shared" si="24"/>
        <v>35975.599999999999</v>
      </c>
      <c r="I40" s="55">
        <f t="shared" si="24"/>
        <v>36176.200000000004</v>
      </c>
      <c r="J40" s="55">
        <f t="shared" si="24"/>
        <v>37184</v>
      </c>
      <c r="K40" s="55">
        <f>SUM(K37:K39)</f>
        <v>37701.800000000003</v>
      </c>
      <c r="L40"/>
      <c r="M40"/>
      <c r="N40" s="25"/>
      <c r="O40" s="18" t="s">
        <v>78</v>
      </c>
      <c r="P40" s="56">
        <f t="shared" ref="P40:AU40" si="25">SUM(P37:P39)</f>
        <v>6031.7999999999993</v>
      </c>
      <c r="Q40" s="56">
        <f t="shared" si="25"/>
        <v>6310.2999999999993</v>
      </c>
      <c r="R40" s="56">
        <f t="shared" si="25"/>
        <v>6302.9999999999991</v>
      </c>
      <c r="S40" s="56">
        <f t="shared" si="25"/>
        <v>6632.7</v>
      </c>
      <c r="T40" s="56">
        <f t="shared" si="25"/>
        <v>6305.9</v>
      </c>
      <c r="U40" s="56">
        <f t="shared" si="25"/>
        <v>6823</v>
      </c>
      <c r="V40" s="56">
        <f t="shared" si="25"/>
        <v>6747.0000000000009</v>
      </c>
      <c r="W40" s="56">
        <f t="shared" si="25"/>
        <v>7097.0999999999995</v>
      </c>
      <c r="X40" s="56">
        <f t="shared" si="25"/>
        <v>5995.7000000000007</v>
      </c>
      <c r="Y40" s="56">
        <f t="shared" si="25"/>
        <v>4222.1000000000004</v>
      </c>
      <c r="Z40" s="56">
        <f t="shared" si="25"/>
        <v>6203.1000000000022</v>
      </c>
      <c r="AA40" s="56">
        <f t="shared" si="25"/>
        <v>6749.4</v>
      </c>
      <c r="AB40" s="56">
        <f t="shared" si="25"/>
        <v>6668.0000000000009</v>
      </c>
      <c r="AC40" s="56">
        <f t="shared" si="25"/>
        <v>7496.5</v>
      </c>
      <c r="AD40" s="56">
        <f t="shared" si="25"/>
        <v>8146.6999999999989</v>
      </c>
      <c r="AE40" s="56">
        <f t="shared" si="25"/>
        <v>8050.4</v>
      </c>
      <c r="AF40" s="56">
        <f t="shared" si="25"/>
        <v>7635.6</v>
      </c>
      <c r="AG40" s="56">
        <f t="shared" si="25"/>
        <v>8150.1</v>
      </c>
      <c r="AH40" s="56">
        <f t="shared" si="25"/>
        <v>8414.2000000000007</v>
      </c>
      <c r="AI40" s="56">
        <f t="shared" si="25"/>
        <v>8713.9</v>
      </c>
      <c r="AJ40" s="56">
        <f t="shared" si="25"/>
        <v>8719.7999999999993</v>
      </c>
      <c r="AK40" s="56">
        <f t="shared" si="25"/>
        <v>9168.2999999999993</v>
      </c>
      <c r="AL40" s="56">
        <f t="shared" si="25"/>
        <v>9373.6</v>
      </c>
      <c r="AM40" s="56">
        <f t="shared" si="25"/>
        <v>9425.2999999999993</v>
      </c>
      <c r="AN40" s="56">
        <f t="shared" si="25"/>
        <v>8563</v>
      </c>
      <c r="AO40" s="56">
        <f t="shared" si="25"/>
        <v>9113.9</v>
      </c>
      <c r="AP40" s="56">
        <f t="shared" si="25"/>
        <v>9074</v>
      </c>
      <c r="AQ40" s="56">
        <f t="shared" si="25"/>
        <v>9398.4</v>
      </c>
      <c r="AR40" s="56">
        <f t="shared" si="25"/>
        <v>8761.6</v>
      </c>
      <c r="AS40" s="56">
        <f t="shared" si="25"/>
        <v>9456</v>
      </c>
      <c r="AT40" s="56">
        <f t="shared" si="25"/>
        <v>9568.5000000000018</v>
      </c>
      <c r="AU40" s="56">
        <f t="shared" si="25"/>
        <v>9915.0999999999985</v>
      </c>
      <c r="AV40" s="34"/>
      <c r="AW40" s="8" t="s">
        <v>78</v>
      </c>
      <c r="AX40" s="34"/>
      <c r="AY40" s="34"/>
      <c r="AZ40" s="34"/>
      <c r="BA40" s="34"/>
      <c r="BB40" s="34"/>
    </row>
    <row r="41" spans="1:63" ht="18" customHeight="1" thickTop="1" x14ac:dyDescent="0.3">
      <c r="A41" s="25" t="s">
        <v>83</v>
      </c>
      <c r="B41" s="57" t="s">
        <v>84</v>
      </c>
      <c r="C41" s="2"/>
      <c r="D41" s="2"/>
      <c r="E41" s="2"/>
      <c r="F41" s="2"/>
      <c r="G41" s="2"/>
      <c r="H41" s="2"/>
      <c r="I41" s="2"/>
      <c r="J41"/>
      <c r="K41"/>
      <c r="L41"/>
      <c r="M41"/>
      <c r="N41" s="25" t="s">
        <v>83</v>
      </c>
      <c r="O41" s="57" t="s">
        <v>84</v>
      </c>
      <c r="P41" s="30"/>
      <c r="Q41" s="30"/>
      <c r="R41" s="30"/>
      <c r="S41" s="30"/>
      <c r="T41" s="30"/>
      <c r="U41" s="30"/>
      <c r="V41" s="30"/>
      <c r="W41" s="30"/>
      <c r="X41" s="30"/>
      <c r="Y41" s="30"/>
      <c r="Z41" s="30"/>
      <c r="AA41" s="30"/>
      <c r="AB41" s="2"/>
      <c r="AC41" s="2"/>
      <c r="AD41" s="57"/>
      <c r="AE41" s="2"/>
      <c r="AF41" s="30"/>
      <c r="AG41" s="30"/>
      <c r="AH41" s="30"/>
      <c r="AI41" s="30"/>
      <c r="AJ41" s="30"/>
      <c r="AK41" s="30"/>
      <c r="AL41" s="30"/>
      <c r="AM41" s="30"/>
      <c r="AN41" s="30"/>
      <c r="AO41" s="30"/>
      <c r="AP41" s="30"/>
      <c r="AQ41" s="30"/>
      <c r="AR41" s="30"/>
      <c r="AS41" s="30"/>
      <c r="AT41" s="30"/>
      <c r="AU41" s="30"/>
      <c r="AV41" s="30"/>
      <c r="AW41" s="63"/>
      <c r="AX41" s="34"/>
    </row>
    <row r="42" spans="1:63" ht="18" customHeight="1" x14ac:dyDescent="0.3">
      <c r="A42"/>
      <c r="B42" s="2" t="s">
        <v>85</v>
      </c>
      <c r="C42"/>
      <c r="D42"/>
      <c r="E42"/>
      <c r="F42"/>
      <c r="G42"/>
      <c r="H42"/>
      <c r="I42"/>
      <c r="J42"/>
      <c r="K42"/>
      <c r="L42"/>
      <c r="M42"/>
      <c r="N42"/>
      <c r="O42" s="2" t="s">
        <v>85</v>
      </c>
      <c r="P42"/>
      <c r="Q42"/>
      <c r="R42"/>
      <c r="S42"/>
      <c r="T42"/>
      <c r="U42"/>
      <c r="V42"/>
      <c r="W42"/>
      <c r="X42"/>
      <c r="Y42"/>
      <c r="Z42"/>
      <c r="AA42"/>
      <c r="AB42"/>
      <c r="AC42"/>
      <c r="AD42" s="2"/>
      <c r="AE42"/>
      <c r="AF42"/>
      <c r="AG42"/>
      <c r="AH42"/>
      <c r="AI42"/>
      <c r="AJ42"/>
      <c r="AK42"/>
      <c r="AL42" s="61"/>
      <c r="AM42"/>
      <c r="AN42"/>
      <c r="AO42"/>
      <c r="AP42" t="s">
        <v>86</v>
      </c>
      <c r="AU42" s="61"/>
      <c r="AV42" s="61"/>
      <c r="AW42" s="53"/>
    </row>
    <row r="43" spans="1:63" ht="18" customHeight="1" x14ac:dyDescent="0.3">
      <c r="A43"/>
      <c r="B43" s="2" t="s">
        <v>87</v>
      </c>
      <c r="C43"/>
      <c r="D43"/>
      <c r="E43"/>
      <c r="F43"/>
      <c r="G43"/>
      <c r="H43"/>
      <c r="I43"/>
      <c r="J43"/>
      <c r="K43"/>
      <c r="L43"/>
      <c r="M43"/>
      <c r="N43"/>
      <c r="O43" s="2" t="s">
        <v>87</v>
      </c>
      <c r="P43"/>
      <c r="Q43"/>
      <c r="R43"/>
      <c r="S43"/>
      <c r="T43"/>
      <c r="U43"/>
      <c r="V43"/>
      <c r="W43"/>
      <c r="X43"/>
      <c r="Y43"/>
      <c r="Z43"/>
      <c r="AA43"/>
      <c r="AB43"/>
      <c r="AC43"/>
      <c r="AD43" s="2"/>
      <c r="AE43"/>
      <c r="AF43"/>
      <c r="AG43"/>
      <c r="AH43"/>
      <c r="AI43"/>
      <c r="AJ43"/>
      <c r="AK43"/>
      <c r="AL43"/>
      <c r="AM43"/>
      <c r="AN43"/>
      <c r="AO43"/>
      <c r="AW43" s="53"/>
    </row>
    <row r="44" spans="1:63"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W44" s="53"/>
      <c r="AX44" s="6"/>
      <c r="AY44" s="6"/>
      <c r="AZ44" s="6"/>
      <c r="BA44" s="2"/>
      <c r="BB44" s="2"/>
      <c r="BC44" s="2"/>
      <c r="BD44" s="2"/>
      <c r="BE44" s="2"/>
    </row>
    <row r="45" spans="1:63" x14ac:dyDescent="0.3">
      <c r="A45" s="4"/>
      <c r="B45" s="4"/>
      <c r="C45" s="4"/>
      <c r="D45" s="4"/>
      <c r="E45" s="4"/>
      <c r="F45" s="4"/>
      <c r="G45" s="4"/>
      <c r="H45" s="4"/>
      <c r="I45"/>
      <c r="J45" s="4"/>
      <c r="K45" s="4"/>
      <c r="L45" s="4"/>
      <c r="M45" s="4"/>
      <c r="N45" s="4"/>
      <c r="O45" s="4"/>
      <c r="P45" s="30"/>
      <c r="Q45" s="30"/>
      <c r="R45" s="30"/>
      <c r="S45" s="30"/>
      <c r="T45" s="30"/>
      <c r="U45" s="30"/>
      <c r="V45" s="30"/>
      <c r="W45" s="30"/>
      <c r="X45" s="30"/>
      <c r="Y45" s="30"/>
      <c r="Z45" s="30"/>
      <c r="AA45" s="30"/>
      <c r="AB45" s="30"/>
      <c r="AC45" s="30"/>
      <c r="AD45" s="30"/>
      <c r="AE45" s="30"/>
      <c r="AF45" s="30"/>
      <c r="AG45" s="30"/>
      <c r="AH45" s="30"/>
      <c r="AI45"/>
      <c r="AJ45" s="30"/>
      <c r="AK45" s="30"/>
      <c r="AL45" s="30"/>
      <c r="AM45"/>
      <c r="AN45"/>
      <c r="AO45" s="30"/>
      <c r="AW45" s="53"/>
    </row>
    <row r="46" spans="1:63" s="2" customFormat="1" ht="18" customHeight="1" x14ac:dyDescent="0.3">
      <c r="A46" s="8" t="s">
        <v>88</v>
      </c>
      <c r="C46" s="9">
        <v>2018</v>
      </c>
      <c r="D46" s="9">
        <v>2019</v>
      </c>
      <c r="E46" s="9">
        <v>2020</v>
      </c>
      <c r="F46" s="10">
        <v>2021</v>
      </c>
      <c r="G46" s="11">
        <v>2022</v>
      </c>
      <c r="H46" s="12">
        <v>2023</v>
      </c>
      <c r="I46" s="13">
        <v>2024</v>
      </c>
      <c r="J46" s="14">
        <v>2025</v>
      </c>
      <c r="K46" s="16" t="s">
        <v>89</v>
      </c>
      <c r="L46" s="17"/>
      <c r="M46" s="17"/>
      <c r="N46" s="9" t="s">
        <v>88</v>
      </c>
      <c r="P46" s="18" t="s">
        <v>9</v>
      </c>
      <c r="Q46" s="18" t="s">
        <v>10</v>
      </c>
      <c r="R46" s="18" t="s">
        <v>11</v>
      </c>
      <c r="S46" s="19" t="s">
        <v>90</v>
      </c>
      <c r="T46" s="18" t="s">
        <v>13</v>
      </c>
      <c r="U46" s="18" t="s">
        <v>14</v>
      </c>
      <c r="V46" s="18" t="s">
        <v>91</v>
      </c>
      <c r="W46" s="19" t="s">
        <v>92</v>
      </c>
      <c r="X46" s="18" t="s">
        <v>93</v>
      </c>
      <c r="Y46" s="18" t="s">
        <v>94</v>
      </c>
      <c r="Z46" s="18" t="s">
        <v>95</v>
      </c>
      <c r="AA46" s="19" t="s">
        <v>96</v>
      </c>
      <c r="AB46" s="18" t="s">
        <v>97</v>
      </c>
      <c r="AC46" s="18" t="s">
        <v>98</v>
      </c>
      <c r="AD46" s="18" t="s">
        <v>99</v>
      </c>
      <c r="AE46" s="19" t="s">
        <v>100</v>
      </c>
      <c r="AF46" s="18" t="s">
        <v>101</v>
      </c>
      <c r="AG46" s="18" t="s">
        <v>102</v>
      </c>
      <c r="AH46" s="18" t="s">
        <v>103</v>
      </c>
      <c r="AI46" s="19" t="s">
        <v>104</v>
      </c>
      <c r="AJ46" s="18" t="s">
        <v>105</v>
      </c>
      <c r="AK46" s="18" t="s">
        <v>106</v>
      </c>
      <c r="AL46" s="18" t="s">
        <v>107</v>
      </c>
      <c r="AM46" s="19" t="s">
        <v>32</v>
      </c>
      <c r="AN46" s="18" t="s">
        <v>33</v>
      </c>
      <c r="AO46" s="18" t="s">
        <v>34</v>
      </c>
      <c r="AP46" s="18" t="s">
        <v>108</v>
      </c>
      <c r="AQ46" s="19" t="s">
        <v>109</v>
      </c>
      <c r="AR46" s="18" t="s">
        <v>110</v>
      </c>
      <c r="AS46" s="18" t="s">
        <v>111</v>
      </c>
      <c r="AT46" s="18" t="s">
        <v>108</v>
      </c>
      <c r="AU46" s="19" t="s">
        <v>112</v>
      </c>
      <c r="AV46" s="18"/>
      <c r="BB46" s="18" t="s">
        <v>111</v>
      </c>
      <c r="BC46" s="18" t="s">
        <v>108</v>
      </c>
      <c r="BD46" s="19" t="s">
        <v>112</v>
      </c>
      <c r="BF46" s="22"/>
      <c r="BH46" s="23"/>
      <c r="BJ46" s="24"/>
      <c r="BK46" s="24"/>
    </row>
    <row r="47" spans="1:63" s="2" customFormat="1" ht="18" customHeight="1" x14ac:dyDescent="0.3">
      <c r="A47" s="25" t="s">
        <v>41</v>
      </c>
      <c r="B47" s="2" t="s">
        <v>42</v>
      </c>
      <c r="C47" s="36">
        <v>21025</v>
      </c>
      <c r="D47" s="36">
        <v>21077</v>
      </c>
      <c r="E47" s="36">
        <v>19207</v>
      </c>
      <c r="F47" s="36">
        <v>23223</v>
      </c>
      <c r="G47" s="36">
        <v>23182.6</v>
      </c>
      <c r="H47" s="36">
        <v>25493.7</v>
      </c>
      <c r="I47" s="36">
        <v>25921</v>
      </c>
      <c r="J47" s="28">
        <v>26886</v>
      </c>
      <c r="K47" s="36"/>
      <c r="L47" s="27"/>
      <c r="M47" s="27"/>
      <c r="N47" s="25" t="s">
        <v>41</v>
      </c>
      <c r="O47" s="2" t="s">
        <v>42</v>
      </c>
      <c r="P47" s="31">
        <v>5139</v>
      </c>
      <c r="Q47" s="31">
        <v>5354</v>
      </c>
      <c r="R47" s="31">
        <v>5369</v>
      </c>
      <c r="S47" s="31">
        <v>5163</v>
      </c>
      <c r="T47" s="31">
        <v>4955.6000000000004</v>
      </c>
      <c r="U47" s="31">
        <v>5341.3</v>
      </c>
      <c r="V47" s="31">
        <v>5430.6</v>
      </c>
      <c r="W47" s="31">
        <v>5349</v>
      </c>
      <c r="X47" s="31">
        <v>4714.3999999999996</v>
      </c>
      <c r="Y47" s="31">
        <v>3761.5</v>
      </c>
      <c r="Z47" s="31">
        <v>5418.1</v>
      </c>
      <c r="AA47" s="31">
        <v>5313.8</v>
      </c>
      <c r="AB47" s="31">
        <v>5124.6000000000004</v>
      </c>
      <c r="AC47" s="31">
        <v>5887.9</v>
      </c>
      <c r="AD47" s="31">
        <v>6201.3</v>
      </c>
      <c r="AE47" s="31">
        <v>6009.1</v>
      </c>
      <c r="AF47" s="31">
        <v>5665.6</v>
      </c>
      <c r="AG47" s="31">
        <v>5718.4</v>
      </c>
      <c r="AH47" s="31">
        <v>5872.1</v>
      </c>
      <c r="AI47" s="31">
        <v>5926.5</v>
      </c>
      <c r="AJ47" s="31">
        <v>5897.8</v>
      </c>
      <c r="AK47" s="31">
        <v>6497.5</v>
      </c>
      <c r="AL47" s="31">
        <v>6692.2</v>
      </c>
      <c r="AM47" s="31">
        <v>6406.2</v>
      </c>
      <c r="AN47" s="31">
        <v>6169</v>
      </c>
      <c r="AO47" s="31">
        <v>6490</v>
      </c>
      <c r="AP47" s="31">
        <v>6874</v>
      </c>
      <c r="AQ47" s="31">
        <v>6388</v>
      </c>
      <c r="AR47" s="31">
        <v>5956</v>
      </c>
      <c r="AS47" s="31">
        <v>6843</v>
      </c>
      <c r="AT47" s="31">
        <v>7078</v>
      </c>
      <c r="AU47" s="31">
        <v>7009</v>
      </c>
      <c r="AV47" s="31"/>
      <c r="AW47" s="2" t="s">
        <v>42</v>
      </c>
      <c r="AX47" s="33" t="s">
        <v>41</v>
      </c>
      <c r="BA47" s="2" t="s">
        <v>43</v>
      </c>
      <c r="BB47" s="35">
        <f>AS47</f>
        <v>6843</v>
      </c>
      <c r="BC47" s="35">
        <f>AT47</f>
        <v>7078</v>
      </c>
      <c r="BD47" s="35">
        <f>AU47</f>
        <v>7009</v>
      </c>
      <c r="BF47" s="22"/>
      <c r="BJ47" s="24"/>
      <c r="BK47" s="24"/>
    </row>
    <row r="48" spans="1:63" s="2" customFormat="1" ht="18" customHeight="1" x14ac:dyDescent="0.3">
      <c r="A48" s="25" t="s">
        <v>41</v>
      </c>
      <c r="B48" s="2" t="s">
        <v>44</v>
      </c>
      <c r="C48" s="26">
        <v>10785.825000000001</v>
      </c>
      <c r="D48" s="26">
        <v>11116.0098</v>
      </c>
      <c r="E48" s="26">
        <v>9757</v>
      </c>
      <c r="F48" s="26">
        <v>12586.866</v>
      </c>
      <c r="G48" s="64">
        <v>13207.199999999999</v>
      </c>
      <c r="H48" s="64">
        <v>14562.5</v>
      </c>
      <c r="I48" s="36">
        <v>14711</v>
      </c>
      <c r="J48" s="28">
        <v>15436</v>
      </c>
      <c r="K48" s="36"/>
      <c r="L48" s="27"/>
      <c r="M48" s="27"/>
      <c r="N48" s="25" t="s">
        <v>41</v>
      </c>
      <c r="O48" s="2" t="s">
        <v>44</v>
      </c>
      <c r="P48" s="31">
        <v>2524</v>
      </c>
      <c r="Q48" s="31">
        <v>2740</v>
      </c>
      <c r="R48" s="31">
        <v>2822</v>
      </c>
      <c r="S48" s="31">
        <v>2700</v>
      </c>
      <c r="T48" s="36">
        <v>2536.3000000000002</v>
      </c>
      <c r="U48" s="36">
        <v>2829.5</v>
      </c>
      <c r="V48" s="36">
        <v>2903.4</v>
      </c>
      <c r="W48" s="36">
        <v>2846.1</v>
      </c>
      <c r="X48" s="36">
        <v>2341.9</v>
      </c>
      <c r="Y48" s="36">
        <v>1725.3</v>
      </c>
      <c r="Z48" s="36">
        <v>2904.7</v>
      </c>
      <c r="AA48" s="36">
        <v>2780.2</v>
      </c>
      <c r="AB48" s="36">
        <v>2668.3</v>
      </c>
      <c r="AC48" s="36">
        <v>3219.5</v>
      </c>
      <c r="AD48" s="36">
        <v>3431.4</v>
      </c>
      <c r="AE48" s="36">
        <v>3261</v>
      </c>
      <c r="AF48" s="36">
        <v>3050.1</v>
      </c>
      <c r="AG48" s="36">
        <v>3302.1</v>
      </c>
      <c r="AH48" s="36">
        <v>3446.1</v>
      </c>
      <c r="AI48" s="36">
        <v>3408.9</v>
      </c>
      <c r="AJ48" s="36">
        <v>3313.6</v>
      </c>
      <c r="AK48" s="36">
        <v>3731</v>
      </c>
      <c r="AL48" s="36">
        <v>3863.7</v>
      </c>
      <c r="AM48" s="36">
        <v>3654.2</v>
      </c>
      <c r="AN48" s="36">
        <v>3439</v>
      </c>
      <c r="AO48" s="36">
        <v>3718</v>
      </c>
      <c r="AP48" s="36">
        <v>3876</v>
      </c>
      <c r="AQ48" s="36">
        <v>3678</v>
      </c>
      <c r="AR48" s="36">
        <v>3337</v>
      </c>
      <c r="AS48" s="36">
        <v>3962</v>
      </c>
      <c r="AT48" s="36">
        <v>4105</v>
      </c>
      <c r="AU48" s="36">
        <v>4032</v>
      </c>
      <c r="AV48" s="36"/>
      <c r="AW48" s="2" t="s">
        <v>44</v>
      </c>
      <c r="AX48" s="33" t="s">
        <v>41</v>
      </c>
      <c r="BA48" s="2" t="s">
        <v>113</v>
      </c>
      <c r="BB48" s="35">
        <f>AS66</f>
        <v>2458</v>
      </c>
      <c r="BC48" s="35">
        <f t="shared" ref="BC48:BD50" si="26">AT66</f>
        <v>2563</v>
      </c>
      <c r="BD48" s="35">
        <f t="shared" si="26"/>
        <v>2537</v>
      </c>
      <c r="BF48" s="22"/>
      <c r="BJ48" s="24"/>
      <c r="BK48" s="24"/>
    </row>
    <row r="49" spans="1:72" s="2" customFormat="1" ht="18" customHeight="1" x14ac:dyDescent="0.3">
      <c r="A49" s="25" t="s">
        <v>41</v>
      </c>
      <c r="B49" s="2" t="s">
        <v>46</v>
      </c>
      <c r="C49" s="36">
        <v>8823</v>
      </c>
      <c r="D49" s="36">
        <v>8885</v>
      </c>
      <c r="E49" s="36">
        <v>7324</v>
      </c>
      <c r="F49" s="36">
        <v>9873</v>
      </c>
      <c r="G49" s="36">
        <v>9385.5</v>
      </c>
      <c r="H49" s="36">
        <v>11745.599999999999</v>
      </c>
      <c r="I49" s="28">
        <v>11853</v>
      </c>
      <c r="J49" s="28">
        <v>12425</v>
      </c>
      <c r="K49" s="36"/>
      <c r="L49" s="27"/>
      <c r="M49" s="27"/>
      <c r="N49" s="25" t="s">
        <v>41</v>
      </c>
      <c r="O49" s="2" t="s">
        <v>46</v>
      </c>
      <c r="P49" s="31">
        <v>2143</v>
      </c>
      <c r="Q49" s="31">
        <v>2262</v>
      </c>
      <c r="R49" s="31">
        <v>2418</v>
      </c>
      <c r="S49" s="31">
        <v>1999.5</v>
      </c>
      <c r="T49" s="31">
        <v>2094</v>
      </c>
      <c r="U49" s="31">
        <v>2273.9</v>
      </c>
      <c r="V49" s="31">
        <v>2409.3000000000002</v>
      </c>
      <c r="W49" s="31">
        <v>2292.6</v>
      </c>
      <c r="X49" s="31">
        <v>1693.6</v>
      </c>
      <c r="Y49" s="31">
        <v>961.1</v>
      </c>
      <c r="Z49" s="31">
        <v>2526.4</v>
      </c>
      <c r="AA49" s="31">
        <v>2142.9</v>
      </c>
      <c r="AB49" s="31">
        <v>2281.3000000000002</v>
      </c>
      <c r="AC49" s="31">
        <v>2691.1</v>
      </c>
      <c r="AD49" s="31">
        <v>2986.5</v>
      </c>
      <c r="AE49" s="31">
        <v>2397.1</v>
      </c>
      <c r="AF49" s="31">
        <v>2312.6</v>
      </c>
      <c r="AG49" s="31">
        <v>1711.8</v>
      </c>
      <c r="AH49" s="31">
        <v>2763.9</v>
      </c>
      <c r="AI49" s="31">
        <v>2597.1999999999998</v>
      </c>
      <c r="AJ49" s="31">
        <v>2661</v>
      </c>
      <c r="AK49" s="31">
        <v>3068.3</v>
      </c>
      <c r="AL49" s="31">
        <v>3183.5</v>
      </c>
      <c r="AM49" s="31">
        <v>2832.8</v>
      </c>
      <c r="AN49" s="31">
        <v>2718</v>
      </c>
      <c r="AO49" s="31">
        <v>3028</v>
      </c>
      <c r="AP49" s="31">
        <v>3229</v>
      </c>
      <c r="AQ49" s="31">
        <v>2878</v>
      </c>
      <c r="AR49" s="31">
        <v>2714</v>
      </c>
      <c r="AS49" s="31">
        <v>3232</v>
      </c>
      <c r="AT49" s="31">
        <v>3320</v>
      </c>
      <c r="AU49" s="31">
        <v>3159</v>
      </c>
      <c r="AV49" s="31"/>
      <c r="AW49" s="2" t="s">
        <v>46</v>
      </c>
      <c r="AX49" s="33" t="s">
        <v>41</v>
      </c>
      <c r="BA49" s="2" t="s">
        <v>114</v>
      </c>
      <c r="BB49" s="35">
        <f t="shared" ref="BB49:BB50" si="27">AS67</f>
        <v>4213</v>
      </c>
      <c r="BC49" s="35">
        <f t="shared" si="26"/>
        <v>4363</v>
      </c>
      <c r="BD49" s="35">
        <f t="shared" si="26"/>
        <v>4311</v>
      </c>
      <c r="BF49" s="22"/>
      <c r="BJ49" s="24"/>
      <c r="BK49" s="24"/>
    </row>
    <row r="50" spans="1:72" s="2" customFormat="1" ht="18" customHeight="1" x14ac:dyDescent="0.3">
      <c r="A50" s="25" t="s">
        <v>41</v>
      </c>
      <c r="B50" s="2" t="s">
        <v>48</v>
      </c>
      <c r="C50" s="36">
        <v>5924</v>
      </c>
      <c r="D50" s="36">
        <v>6025</v>
      </c>
      <c r="E50" s="36">
        <v>4730.5</v>
      </c>
      <c r="F50" s="36">
        <v>7545</v>
      </c>
      <c r="G50" s="36">
        <v>6177.4</v>
      </c>
      <c r="H50" s="36">
        <v>8468.7999999999993</v>
      </c>
      <c r="I50" s="28">
        <v>8223</v>
      </c>
      <c r="J50" s="28">
        <v>8563</v>
      </c>
      <c r="K50" s="36"/>
      <c r="L50" s="27"/>
      <c r="M50" s="27"/>
      <c r="N50" s="25" t="s">
        <v>41</v>
      </c>
      <c r="O50" s="2" t="s">
        <v>48</v>
      </c>
      <c r="P50" s="31">
        <v>1376</v>
      </c>
      <c r="Q50" s="31">
        <v>1496</v>
      </c>
      <c r="R50" s="31">
        <v>1637</v>
      </c>
      <c r="S50" s="31">
        <v>1415.3</v>
      </c>
      <c r="T50" s="31">
        <v>1328.4</v>
      </c>
      <c r="U50" s="31">
        <v>1516.9</v>
      </c>
      <c r="V50" s="31">
        <v>1607.9</v>
      </c>
      <c r="W50" s="31">
        <v>1572.2</v>
      </c>
      <c r="X50" s="31">
        <v>1106.9000000000001</v>
      </c>
      <c r="Y50" s="31">
        <v>483.8</v>
      </c>
      <c r="Z50" s="31">
        <v>1762.6</v>
      </c>
      <c r="AA50" s="31">
        <v>1377.2</v>
      </c>
      <c r="AB50" s="31">
        <v>1537.2</v>
      </c>
      <c r="AC50" s="31">
        <v>2219.3000000000002</v>
      </c>
      <c r="AD50" s="31">
        <v>2149.9</v>
      </c>
      <c r="AE50" s="31">
        <v>1638.8</v>
      </c>
      <c r="AF50" s="31">
        <v>1104.4000000000001</v>
      </c>
      <c r="AG50" s="31">
        <v>1188</v>
      </c>
      <c r="AH50" s="31">
        <v>1981.6</v>
      </c>
      <c r="AI50" s="31">
        <v>1903.4</v>
      </c>
      <c r="AJ50" s="31">
        <v>1802.3</v>
      </c>
      <c r="AK50" s="31">
        <v>2310.4</v>
      </c>
      <c r="AL50" s="31">
        <v>2317.1</v>
      </c>
      <c r="AM50" s="31">
        <v>2039</v>
      </c>
      <c r="AN50" s="31">
        <v>1929</v>
      </c>
      <c r="AO50" s="31">
        <v>2022</v>
      </c>
      <c r="AP50" s="31">
        <v>2255</v>
      </c>
      <c r="AQ50" s="31">
        <v>2017</v>
      </c>
      <c r="AR50" s="31">
        <v>1868</v>
      </c>
      <c r="AS50" s="31">
        <v>2253</v>
      </c>
      <c r="AT50" s="31">
        <v>2278</v>
      </c>
      <c r="AU50" s="31">
        <v>2164</v>
      </c>
      <c r="AV50" s="31"/>
      <c r="AW50" s="2" t="s">
        <v>48</v>
      </c>
      <c r="AX50" s="33" t="s">
        <v>41</v>
      </c>
      <c r="BA50" s="2" t="s">
        <v>115</v>
      </c>
      <c r="BB50" s="35">
        <f t="shared" si="27"/>
        <v>172</v>
      </c>
      <c r="BC50" s="35">
        <f t="shared" si="26"/>
        <v>152</v>
      </c>
      <c r="BD50" s="35">
        <f t="shared" si="26"/>
        <v>161</v>
      </c>
      <c r="BF50" s="22"/>
      <c r="BJ50" s="24"/>
      <c r="BK50" s="24"/>
    </row>
    <row r="51" spans="1:72" s="2" customFormat="1" ht="18" customHeight="1" x14ac:dyDescent="0.3">
      <c r="A51" s="25" t="s">
        <v>41</v>
      </c>
      <c r="B51" s="39" t="s">
        <v>50</v>
      </c>
      <c r="C51" s="51">
        <v>6966</v>
      </c>
      <c r="D51" s="51">
        <v>8122</v>
      </c>
      <c r="E51" s="51">
        <v>6265.2</v>
      </c>
      <c r="F51" s="51">
        <v>9142</v>
      </c>
      <c r="G51" s="40">
        <v>7386.7</v>
      </c>
      <c r="H51" s="40">
        <v>9611.9</v>
      </c>
      <c r="I51" s="35">
        <v>9447</v>
      </c>
      <c r="J51" s="40">
        <v>10551</v>
      </c>
      <c r="K51" s="40"/>
      <c r="L51" s="40"/>
      <c r="M51" s="40"/>
      <c r="N51" s="25" t="s">
        <v>51</v>
      </c>
      <c r="O51" s="2" t="s">
        <v>52</v>
      </c>
      <c r="P51" s="41">
        <f t="shared" ref="P51:R51" si="28">P50/P47</f>
        <v>0.26775637283518194</v>
      </c>
      <c r="Q51" s="41">
        <f t="shared" si="28"/>
        <v>0.27941725812476653</v>
      </c>
      <c r="R51" s="41">
        <f t="shared" si="28"/>
        <v>0.3048984913391693</v>
      </c>
      <c r="S51" s="41">
        <f>S50/S47</f>
        <v>0.27412357156691847</v>
      </c>
      <c r="T51" s="41">
        <f>T50/T47</f>
        <v>0.26806037614012429</v>
      </c>
      <c r="U51" s="41">
        <f>U50/U47</f>
        <v>0.2839945331660832</v>
      </c>
      <c r="V51" s="41">
        <f>V50/V47</f>
        <v>0.29608146429492138</v>
      </c>
      <c r="W51" s="41">
        <f>W50/W47</f>
        <v>0.29392409796223595</v>
      </c>
      <c r="X51" s="41">
        <f t="shared" ref="X51:AU51" si="29">X50/X47</f>
        <v>0.23479127778720518</v>
      </c>
      <c r="Y51" s="41">
        <f t="shared" si="29"/>
        <v>0.12861890203376314</v>
      </c>
      <c r="Z51" s="41">
        <f t="shared" si="29"/>
        <v>0.3253169930418412</v>
      </c>
      <c r="AA51" s="41">
        <f t="shared" si="29"/>
        <v>0.25917422560126463</v>
      </c>
      <c r="AB51" s="41">
        <f t="shared" si="29"/>
        <v>0.29996487530734106</v>
      </c>
      <c r="AC51" s="41">
        <f t="shared" si="29"/>
        <v>0.37692555919767662</v>
      </c>
      <c r="AD51" s="41">
        <f t="shared" si="29"/>
        <v>0.34668537242191155</v>
      </c>
      <c r="AE51" s="41">
        <f t="shared" si="29"/>
        <v>0.27271970844219595</v>
      </c>
      <c r="AF51" s="41">
        <f t="shared" si="29"/>
        <v>0.19493081050550692</v>
      </c>
      <c r="AG51" s="41">
        <f t="shared" si="29"/>
        <v>0.20775041969781757</v>
      </c>
      <c r="AH51" s="41">
        <f t="shared" si="29"/>
        <v>0.33746019311660219</v>
      </c>
      <c r="AI51" s="41">
        <f t="shared" si="29"/>
        <v>0.32116763688517674</v>
      </c>
      <c r="AJ51" s="41">
        <f t="shared" si="29"/>
        <v>0.30558852453457219</v>
      </c>
      <c r="AK51" s="41">
        <f t="shared" si="29"/>
        <v>0.3555829165063486</v>
      </c>
      <c r="AL51" s="41">
        <f t="shared" si="29"/>
        <v>0.34623890499387344</v>
      </c>
      <c r="AM51" s="41">
        <f t="shared" si="29"/>
        <v>0.31828541100808594</v>
      </c>
      <c r="AN51" s="41">
        <f t="shared" si="29"/>
        <v>0.31269249473172311</v>
      </c>
      <c r="AO51" s="41">
        <f t="shared" si="29"/>
        <v>0.31155624036979968</v>
      </c>
      <c r="AP51" s="41">
        <f t="shared" si="29"/>
        <v>0.32804771603142274</v>
      </c>
      <c r="AQ51" s="41">
        <f t="shared" si="29"/>
        <v>0.31574827802128991</v>
      </c>
      <c r="AR51" s="41">
        <f t="shared" si="29"/>
        <v>0.31363331094694424</v>
      </c>
      <c r="AS51" s="41">
        <f t="shared" si="29"/>
        <v>0.32924156071898292</v>
      </c>
      <c r="AT51" s="41">
        <f t="shared" si="29"/>
        <v>0.32184232834133936</v>
      </c>
      <c r="AU51" s="41">
        <f t="shared" si="29"/>
        <v>0.30874589813097447</v>
      </c>
      <c r="AV51" s="41"/>
      <c r="AW51" s="2" t="s">
        <v>52</v>
      </c>
      <c r="AX51" s="33" t="s">
        <v>51</v>
      </c>
      <c r="BA51" s="2" t="s">
        <v>116</v>
      </c>
      <c r="BB51" s="35">
        <f>AS73</f>
        <v>2781</v>
      </c>
      <c r="BC51" s="35">
        <f t="shared" ref="BC51:BD54" si="30">AT73</f>
        <v>2696</v>
      </c>
      <c r="BD51" s="35">
        <f t="shared" si="30"/>
        <v>2606</v>
      </c>
      <c r="BF51" s="22"/>
    </row>
    <row r="52" spans="1:72" s="2" customFormat="1" ht="18" customHeight="1" x14ac:dyDescent="0.3">
      <c r="A52" s="25" t="s">
        <v>41</v>
      </c>
      <c r="B52" s="39" t="s">
        <v>54</v>
      </c>
      <c r="C52" s="51">
        <v>4225</v>
      </c>
      <c r="D52" s="51">
        <v>5728</v>
      </c>
      <c r="E52" s="51">
        <v>4626</v>
      </c>
      <c r="F52" s="51">
        <v>7102</v>
      </c>
      <c r="G52" s="40">
        <v>5487.5</v>
      </c>
      <c r="H52" s="40">
        <v>7254.5</v>
      </c>
      <c r="I52" s="35">
        <v>6672</v>
      </c>
      <c r="J52" s="40">
        <v>7186</v>
      </c>
      <c r="K52" s="40"/>
      <c r="L52" s="40"/>
      <c r="M52" s="40"/>
      <c r="N52" s="25" t="s">
        <v>51</v>
      </c>
      <c r="O52" s="2" t="s">
        <v>55</v>
      </c>
      <c r="P52" s="41">
        <f t="shared" ref="P52:R52" si="31">P48/P47</f>
        <v>0.49114613738081336</v>
      </c>
      <c r="Q52" s="41">
        <f t="shared" si="31"/>
        <v>0.51176690324990659</v>
      </c>
      <c r="R52" s="41">
        <f t="shared" si="31"/>
        <v>0.52560998323710184</v>
      </c>
      <c r="S52" s="41">
        <f>S48/S47</f>
        <v>0.52295177222545031</v>
      </c>
      <c r="T52" s="41">
        <f>T48/T47</f>
        <v>0.51180482686253936</v>
      </c>
      <c r="U52" s="41">
        <f>U48/U47</f>
        <v>0.52973995094827098</v>
      </c>
      <c r="V52" s="41">
        <f>V48/V47</f>
        <v>0.53463705667882</v>
      </c>
      <c r="W52" s="41">
        <f>W48/W47</f>
        <v>0.53208076275939431</v>
      </c>
      <c r="X52" s="41">
        <f t="shared" ref="X52:AU52" si="32">X48/X47</f>
        <v>0.49675462413032417</v>
      </c>
      <c r="Y52" s="41">
        <f t="shared" si="32"/>
        <v>0.45867340156852321</v>
      </c>
      <c r="Z52" s="41">
        <f t="shared" si="32"/>
        <v>0.53611044462080792</v>
      </c>
      <c r="AA52" s="41">
        <f t="shared" si="32"/>
        <v>0.52320373367458306</v>
      </c>
      <c r="AB52" s="41">
        <f t="shared" si="32"/>
        <v>0.52068454123248642</v>
      </c>
      <c r="AC52" s="41">
        <f t="shared" si="32"/>
        <v>0.54679936819579145</v>
      </c>
      <c r="AD52" s="41">
        <f t="shared" si="32"/>
        <v>0.55333559092448359</v>
      </c>
      <c r="AE52" s="41">
        <f t="shared" si="32"/>
        <v>0.54267693997437216</v>
      </c>
      <c r="AF52" s="41">
        <f t="shared" si="32"/>
        <v>0.53835427845241457</v>
      </c>
      <c r="AG52" s="41">
        <f t="shared" si="32"/>
        <v>0.57745173475097933</v>
      </c>
      <c r="AH52" s="41">
        <f t="shared" si="32"/>
        <v>0.58685989680012252</v>
      </c>
      <c r="AI52" s="41">
        <f t="shared" si="32"/>
        <v>0.57519615287269044</v>
      </c>
      <c r="AJ52" s="41">
        <f t="shared" si="32"/>
        <v>0.5618366170436434</v>
      </c>
      <c r="AK52" s="41">
        <f t="shared" si="32"/>
        <v>0.5742208541746826</v>
      </c>
      <c r="AL52" s="41">
        <f t="shared" si="32"/>
        <v>0.57734377334807685</v>
      </c>
      <c r="AM52" s="41">
        <f t="shared" si="32"/>
        <v>0.57041615934563394</v>
      </c>
      <c r="AN52" s="41">
        <f t="shared" si="32"/>
        <v>0.55746474307018967</v>
      </c>
      <c r="AO52" s="41">
        <f t="shared" si="32"/>
        <v>0.57288135593220335</v>
      </c>
      <c r="AP52" s="41">
        <f t="shared" si="32"/>
        <v>0.56386383473959845</v>
      </c>
      <c r="AQ52" s="41">
        <f t="shared" si="32"/>
        <v>0.57576706324358173</v>
      </c>
      <c r="AR52" s="41">
        <f t="shared" si="32"/>
        <v>0.56027535258562788</v>
      </c>
      <c r="AS52" s="41">
        <f t="shared" si="32"/>
        <v>0.57898582493058603</v>
      </c>
      <c r="AT52" s="41">
        <f t="shared" si="32"/>
        <v>0.57996609211641703</v>
      </c>
      <c r="AU52" s="41">
        <f t="shared" si="32"/>
        <v>0.57526037951205589</v>
      </c>
      <c r="AV52" s="41"/>
      <c r="AW52" s="2" t="s">
        <v>55</v>
      </c>
      <c r="AX52" s="33" t="s">
        <v>51</v>
      </c>
      <c r="BA52" s="2" t="s">
        <v>117</v>
      </c>
      <c r="BB52" s="35">
        <f t="shared" ref="BB52:BB54" si="33">AS74</f>
        <v>3462</v>
      </c>
      <c r="BC52" s="35">
        <f t="shared" si="30"/>
        <v>3606</v>
      </c>
      <c r="BD52" s="35">
        <f t="shared" si="30"/>
        <v>3480</v>
      </c>
      <c r="BF52" s="22"/>
    </row>
    <row r="53" spans="1:72" s="2" customFormat="1" ht="18" customHeight="1" x14ac:dyDescent="0.3">
      <c r="A53" s="25" t="s">
        <v>51</v>
      </c>
      <c r="B53" s="2" t="s">
        <v>57</v>
      </c>
      <c r="C53" s="65">
        <v>-7.87</v>
      </c>
      <c r="D53" s="65">
        <v>0.24</v>
      </c>
      <c r="E53" s="66">
        <v>-8.8684347867343583</v>
      </c>
      <c r="F53" s="66">
        <v>20.909043577862239</v>
      </c>
      <c r="G53" s="66">
        <v>-0.17396546527150433</v>
      </c>
      <c r="H53" s="66">
        <v>9.9691147671098257</v>
      </c>
      <c r="I53" s="45">
        <v>1.6761003698953045</v>
      </c>
      <c r="J53" s="46">
        <v>3.7228501986806064</v>
      </c>
      <c r="K53" s="45"/>
      <c r="L53" s="45"/>
      <c r="M53" s="45"/>
      <c r="O53" s="50"/>
      <c r="Q53" s="41"/>
      <c r="R53" s="41"/>
      <c r="S53" s="41"/>
      <c r="T53" s="41"/>
      <c r="U53" s="41"/>
      <c r="BA53" s="2" t="s">
        <v>118</v>
      </c>
      <c r="BB53" s="35">
        <f t="shared" si="33"/>
        <v>428</v>
      </c>
      <c r="BC53" s="35">
        <f t="shared" si="30"/>
        <v>625</v>
      </c>
      <c r="BD53" s="35">
        <f t="shared" si="30"/>
        <v>588</v>
      </c>
      <c r="BF53" s="22"/>
    </row>
    <row r="54" spans="1:72" s="2" customFormat="1" ht="18" customHeight="1" x14ac:dyDescent="0.3">
      <c r="A54" s="25" t="s">
        <v>51</v>
      </c>
      <c r="B54" s="2" t="s">
        <v>59</v>
      </c>
      <c r="C54" s="65">
        <v>5.16</v>
      </c>
      <c r="D54" s="65">
        <v>3.5</v>
      </c>
      <c r="E54" s="66">
        <v>-17.568936409679235</v>
      </c>
      <c r="F54" s="66">
        <v>34.803386127799016</v>
      </c>
      <c r="G54" s="66">
        <v>-4.9377089030689758</v>
      </c>
      <c r="H54" s="66">
        <v>25.146236215438694</v>
      </c>
      <c r="I54" s="45">
        <v>0.91438496117696388</v>
      </c>
      <c r="J54" s="46">
        <v>4.825782502320088</v>
      </c>
      <c r="K54" s="45"/>
      <c r="L54" s="45"/>
      <c r="M54" s="45"/>
      <c r="O54" s="50"/>
      <c r="Q54" s="41"/>
      <c r="R54" s="41"/>
      <c r="S54" s="41"/>
      <c r="T54" s="41"/>
      <c r="U54" s="41"/>
      <c r="BA54" s="2" t="s">
        <v>115</v>
      </c>
      <c r="BB54" s="35">
        <f t="shared" si="33"/>
        <v>172</v>
      </c>
      <c r="BC54" s="35">
        <f t="shared" si="30"/>
        <v>151</v>
      </c>
      <c r="BD54" s="35">
        <f t="shared" si="30"/>
        <v>335</v>
      </c>
      <c r="BF54" s="22"/>
    </row>
    <row r="55" spans="1:72" s="2" customFormat="1" ht="18" customHeight="1" x14ac:dyDescent="0.3">
      <c r="A55" s="25" t="s">
        <v>51</v>
      </c>
      <c r="B55" s="2" t="s">
        <v>61</v>
      </c>
      <c r="C55" s="65">
        <v>14.1</v>
      </c>
      <c r="D55" s="65">
        <v>1.71</v>
      </c>
      <c r="E55" s="66">
        <v>-21.485477178423238</v>
      </c>
      <c r="F55" s="66">
        <v>59.496881936370357</v>
      </c>
      <c r="G55" s="66">
        <v>-18.125911199469851</v>
      </c>
      <c r="H55" s="66">
        <v>37.093275488069409</v>
      </c>
      <c r="I55" s="45">
        <v>-2.9024182883053005</v>
      </c>
      <c r="J55" s="46">
        <v>4.1347440107016897</v>
      </c>
      <c r="K55" s="45"/>
      <c r="L55" s="45"/>
      <c r="M55" s="45"/>
      <c r="O55" s="50"/>
      <c r="Q55" s="41"/>
      <c r="R55" s="41"/>
      <c r="S55" s="41"/>
      <c r="T55" s="41"/>
      <c r="U55" s="41"/>
      <c r="BF55" s="22"/>
    </row>
    <row r="56" spans="1:72" s="2" customFormat="1" ht="18" customHeight="1" x14ac:dyDescent="0.3">
      <c r="A56" s="25" t="s">
        <v>63</v>
      </c>
      <c r="B56" s="2" t="s">
        <v>64</v>
      </c>
      <c r="C56" s="44">
        <v>28.175980975029724</v>
      </c>
      <c r="D56" s="44">
        <v>28.585662096123738</v>
      </c>
      <c r="E56" s="23">
        <v>24.628015701954414</v>
      </c>
      <c r="F56" s="23">
        <v>32.489342462214182</v>
      </c>
      <c r="G56" s="23">
        <v>26.646709169808393</v>
      </c>
      <c r="H56" s="23">
        <v>33.219187485535642</v>
      </c>
      <c r="I56" s="45">
        <v>31.723313143783034</v>
      </c>
      <c r="J56" s="46">
        <v>31.849289593096781</v>
      </c>
      <c r="K56" s="45"/>
      <c r="L56" s="45"/>
      <c r="M56" s="45"/>
      <c r="O56" s="50"/>
      <c r="BF56" s="22"/>
    </row>
    <row r="57" spans="1:72" s="2" customFormat="1" ht="18" customHeight="1" x14ac:dyDescent="0.3">
      <c r="A57" s="25" t="s">
        <v>63</v>
      </c>
      <c r="B57" s="2" t="s">
        <v>66</v>
      </c>
      <c r="C57" s="65">
        <v>51.3</v>
      </c>
      <c r="D57" s="65">
        <v>52.74</v>
      </c>
      <c r="E57" s="65">
        <v>50.8</v>
      </c>
      <c r="F57" s="65">
        <v>54.2</v>
      </c>
      <c r="G57" s="66">
        <v>56.970313942353314</v>
      </c>
      <c r="H57" s="66">
        <v>57.12195562040818</v>
      </c>
      <c r="I57" s="45">
        <v>56.753211681648082</v>
      </c>
      <c r="J57" s="46">
        <v>57.412779885442234</v>
      </c>
      <c r="K57" s="45"/>
      <c r="L57" s="45"/>
      <c r="M57" s="45"/>
      <c r="O57" s="50"/>
      <c r="BF57" s="22"/>
    </row>
    <row r="58" spans="1:72" s="2" customFormat="1" ht="18" customHeight="1" x14ac:dyDescent="0.3">
      <c r="A58" s="25" t="s">
        <v>67</v>
      </c>
      <c r="B58" s="2" t="s">
        <v>68</v>
      </c>
      <c r="C58" s="65">
        <v>9.52</v>
      </c>
      <c r="D58" s="65">
        <v>9.0299999999999994</v>
      </c>
      <c r="E58" s="65">
        <v>8.86</v>
      </c>
      <c r="F58" s="65">
        <v>11.66</v>
      </c>
      <c r="G58" s="65">
        <v>11.69</v>
      </c>
      <c r="H58" s="65">
        <v>10.72</v>
      </c>
      <c r="I58" s="45">
        <v>10.47</v>
      </c>
      <c r="J58" s="46">
        <v>10.82</v>
      </c>
      <c r="Q58" s="41"/>
      <c r="R58" s="41"/>
      <c r="S58" s="41"/>
      <c r="T58" s="41"/>
      <c r="U58" s="41"/>
      <c r="BF58" s="22"/>
    </row>
    <row r="59" spans="1:72" s="2" customFormat="1" ht="18" customHeight="1" x14ac:dyDescent="0.3">
      <c r="A59" s="25" t="s">
        <v>67</v>
      </c>
      <c r="B59" s="2" t="s">
        <v>69</v>
      </c>
      <c r="C59" s="67">
        <v>0.63</v>
      </c>
      <c r="D59" s="67">
        <v>0.52</v>
      </c>
      <c r="E59" s="65">
        <v>0.38</v>
      </c>
      <c r="F59" s="65">
        <v>0.44</v>
      </c>
      <c r="G59" s="65">
        <v>0.44</v>
      </c>
      <c r="H59" s="65">
        <v>0.48</v>
      </c>
      <c r="I59" s="45">
        <v>0.47</v>
      </c>
      <c r="J59" s="46">
        <v>0.47</v>
      </c>
      <c r="Q59" s="41"/>
      <c r="R59" s="41"/>
      <c r="S59" s="41"/>
      <c r="T59" s="41"/>
      <c r="U59" s="41"/>
      <c r="BF59" s="22"/>
    </row>
    <row r="60" spans="1:72" s="2" customFormat="1" ht="18" customHeight="1" x14ac:dyDescent="0.3">
      <c r="A60" s="25" t="s">
        <v>70</v>
      </c>
      <c r="B60" s="2" t="s">
        <v>71</v>
      </c>
      <c r="C60" s="65">
        <v>1.0000000000000001E-5</v>
      </c>
      <c r="D60" s="65">
        <v>1.0000000000000001E-5</v>
      </c>
      <c r="E60" s="65">
        <v>1.0000000000000001E-5</v>
      </c>
      <c r="F60" s="65">
        <v>1.0000000000000001E-5</v>
      </c>
      <c r="G60" s="65">
        <v>1.0000000000000001E-5</v>
      </c>
      <c r="H60" s="65">
        <v>1.0000000000000001E-5</v>
      </c>
      <c r="I60" s="45">
        <v>-10.1196</v>
      </c>
      <c r="J60" s="46">
        <v>-22.3188</v>
      </c>
      <c r="Q60" s="41"/>
      <c r="R60" s="41"/>
      <c r="S60" s="41"/>
      <c r="T60" s="41"/>
      <c r="U60" s="41"/>
      <c r="W60" s="31"/>
      <c r="BF60" s="22"/>
    </row>
    <row r="61" spans="1:72" s="2" customFormat="1" ht="18" customHeight="1" x14ac:dyDescent="0.3">
      <c r="A61" s="25" t="s">
        <v>72</v>
      </c>
      <c r="B61" s="2" t="s">
        <v>73</v>
      </c>
      <c r="C61" s="67">
        <v>1.36</v>
      </c>
      <c r="D61" s="67">
        <v>0.98</v>
      </c>
      <c r="E61" s="65">
        <v>1.01</v>
      </c>
      <c r="F61" s="65">
        <v>1.78</v>
      </c>
      <c r="G61" s="65">
        <v>1.43</v>
      </c>
      <c r="H61" s="65">
        <v>1.1599999999999999</v>
      </c>
      <c r="I61" s="45">
        <v>1.19</v>
      </c>
      <c r="J61" s="46">
        <v>0.95</v>
      </c>
      <c r="Q61" s="41"/>
      <c r="R61" s="41"/>
      <c r="S61" s="41"/>
      <c r="T61" s="41"/>
      <c r="U61" s="41"/>
      <c r="W61" s="36"/>
      <c r="AA61" s="36"/>
      <c r="AE61" s="36"/>
      <c r="BF61" s="22"/>
    </row>
    <row r="62" spans="1:72" s="4" customFormat="1" ht="18" customHeight="1" x14ac:dyDescent="0.3">
      <c r="A62" s="25"/>
      <c r="B62" s="2" t="s">
        <v>74</v>
      </c>
      <c r="C62" s="51">
        <v>210000</v>
      </c>
      <c r="D62" s="30">
        <v>205000</v>
      </c>
      <c r="E62" s="30">
        <v>200000</v>
      </c>
      <c r="F62" s="27">
        <v>200000</v>
      </c>
      <c r="G62" s="27">
        <v>100000</v>
      </c>
      <c r="H62" s="27">
        <v>100000</v>
      </c>
      <c r="I62" s="27">
        <v>100000</v>
      </c>
      <c r="J62" s="27">
        <v>150000</v>
      </c>
      <c r="K62" s="2"/>
      <c r="L62" s="2"/>
      <c r="M62" s="2"/>
      <c r="O62" s="2"/>
      <c r="P62" s="41"/>
      <c r="Q62" s="41"/>
      <c r="R62" s="41"/>
      <c r="S62" s="41"/>
      <c r="T62" s="41"/>
      <c r="U62" s="41"/>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39"/>
      <c r="BN62" s="39"/>
      <c r="BO62" s="39"/>
      <c r="BP62" s="39"/>
      <c r="BQ62" s="39"/>
      <c r="BR62" s="39"/>
      <c r="BS62" s="39"/>
      <c r="BT62" s="39"/>
    </row>
    <row r="63" spans="1:72" x14ac:dyDescent="0.3">
      <c r="A63"/>
      <c r="B63"/>
      <c r="C63"/>
      <c r="D63"/>
      <c r="E63"/>
      <c r="F63"/>
      <c r="G63"/>
      <c r="H63"/>
      <c r="I63"/>
      <c r="J63"/>
      <c r="K63"/>
      <c r="L63"/>
      <c r="M63"/>
      <c r="N63"/>
      <c r="O63"/>
      <c r="P63" s="31"/>
      <c r="Q63" s="31"/>
      <c r="R63" s="31"/>
      <c r="S63" s="31"/>
      <c r="T63" s="31"/>
      <c r="U63" s="31"/>
      <c r="V63" s="31"/>
      <c r="W63" s="31"/>
      <c r="X63" s="31"/>
      <c r="Y63" s="31"/>
      <c r="Z63" s="31"/>
      <c r="AA63" s="31"/>
      <c r="AB63" s="31"/>
      <c r="AC63" s="31"/>
      <c r="AD63" s="31"/>
      <c r="AE63" s="31"/>
      <c r="AF63" s="31"/>
      <c r="AG63" s="31"/>
      <c r="AH63"/>
      <c r="AI63"/>
      <c r="AJ63"/>
      <c r="AK63"/>
      <c r="AL63"/>
      <c r="AM63"/>
      <c r="AN63"/>
      <c r="AO63"/>
      <c r="AW63" s="53"/>
    </row>
    <row r="64" spans="1:72"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W64" s="53"/>
    </row>
    <row r="65" spans="1:52" x14ac:dyDescent="0.3">
      <c r="A65" s="18" t="s">
        <v>75</v>
      </c>
      <c r="B65" s="9" t="s">
        <v>82</v>
      </c>
      <c r="C65" s="9">
        <v>2018</v>
      </c>
      <c r="D65" s="9">
        <v>2019</v>
      </c>
      <c r="E65" s="9">
        <v>2020</v>
      </c>
      <c r="F65" s="10">
        <v>2021</v>
      </c>
      <c r="G65" s="11">
        <v>2022</v>
      </c>
      <c r="H65" s="12">
        <v>2023</v>
      </c>
      <c r="I65" s="13">
        <v>2024</v>
      </c>
      <c r="J65" s="14">
        <v>2025</v>
      </c>
      <c r="K65" s="4"/>
      <c r="L65" s="4"/>
      <c r="M65" s="4"/>
      <c r="N65" s="18" t="s">
        <v>75</v>
      </c>
      <c r="O65" s="9" t="s">
        <v>82</v>
      </c>
      <c r="P65" s="18" t="s">
        <v>119</v>
      </c>
      <c r="Q65" s="18" t="s">
        <v>120</v>
      </c>
      <c r="R65" s="18" t="s">
        <v>11</v>
      </c>
      <c r="S65" s="19" t="s">
        <v>90</v>
      </c>
      <c r="T65" s="18" t="s">
        <v>13</v>
      </c>
      <c r="U65" s="18" t="s">
        <v>14</v>
      </c>
      <c r="V65" s="18" t="s">
        <v>91</v>
      </c>
      <c r="W65" s="19" t="s">
        <v>92</v>
      </c>
      <c r="X65" s="18" t="s">
        <v>93</v>
      </c>
      <c r="Y65" s="18" t="s">
        <v>94</v>
      </c>
      <c r="Z65" s="18" t="s">
        <v>95</v>
      </c>
      <c r="AA65" s="19" t="s">
        <v>96</v>
      </c>
      <c r="AB65" s="18" t="s">
        <v>97</v>
      </c>
      <c r="AC65" s="18" t="s">
        <v>98</v>
      </c>
      <c r="AD65" s="18" t="s">
        <v>99</v>
      </c>
      <c r="AE65" s="19" t="s">
        <v>100</v>
      </c>
      <c r="AF65" s="18" t="s">
        <v>101</v>
      </c>
      <c r="AG65" s="18" t="s">
        <v>102</v>
      </c>
      <c r="AH65" s="18" t="s">
        <v>103</v>
      </c>
      <c r="AI65" s="19" t="s">
        <v>104</v>
      </c>
      <c r="AJ65" s="18" t="s">
        <v>105</v>
      </c>
      <c r="AK65" s="18" t="s">
        <v>106</v>
      </c>
      <c r="AL65" s="18" t="s">
        <v>107</v>
      </c>
      <c r="AM65" s="19" t="s">
        <v>32</v>
      </c>
      <c r="AN65" s="18" t="s">
        <v>33</v>
      </c>
      <c r="AO65" s="18" t="s">
        <v>34</v>
      </c>
      <c r="AP65" s="18" t="s">
        <v>108</v>
      </c>
      <c r="AQ65" s="19" t="s">
        <v>109</v>
      </c>
      <c r="AR65" s="18" t="s">
        <v>110</v>
      </c>
      <c r="AS65" s="18" t="s">
        <v>111</v>
      </c>
      <c r="AT65" s="18" t="s">
        <v>121</v>
      </c>
      <c r="AU65" s="19" t="s">
        <v>112</v>
      </c>
      <c r="AV65" s="18"/>
      <c r="AW65" s="9" t="s">
        <v>82</v>
      </c>
    </row>
    <row r="66" spans="1:52" x14ac:dyDescent="0.3">
      <c r="A66" s="25" t="s">
        <v>41</v>
      </c>
      <c r="B66" s="2" t="s">
        <v>113</v>
      </c>
      <c r="C66" s="35">
        <v>10013</v>
      </c>
      <c r="D66" s="35">
        <v>9421</v>
      </c>
      <c r="E66" s="35">
        <v>8139</v>
      </c>
      <c r="F66" s="35">
        <v>9787</v>
      </c>
      <c r="G66" s="35">
        <v>8748</v>
      </c>
      <c r="H66" s="35">
        <v>9741.7999999999993</v>
      </c>
      <c r="I66" s="35">
        <v>9782</v>
      </c>
      <c r="J66" s="35">
        <v>9690</v>
      </c>
      <c r="K66" s="4"/>
      <c r="L66" s="4"/>
      <c r="M66" s="4"/>
      <c r="N66" s="25" t="s">
        <v>41</v>
      </c>
      <c r="O66" s="2" t="s">
        <v>113</v>
      </c>
      <c r="P66" s="30">
        <v>2535.6</v>
      </c>
      <c r="Q66" s="30">
        <v>2594.9</v>
      </c>
      <c r="R66" s="30">
        <v>2511</v>
      </c>
      <c r="S66" s="30">
        <v>2371.5</v>
      </c>
      <c r="T66" s="30">
        <v>2240</v>
      </c>
      <c r="U66" s="30">
        <v>2400.4</v>
      </c>
      <c r="V66" s="30">
        <v>2416.6</v>
      </c>
      <c r="W66" s="30">
        <v>2364</v>
      </c>
      <c r="X66" s="30">
        <v>2025.8</v>
      </c>
      <c r="Y66" s="30">
        <v>1593.7</v>
      </c>
      <c r="Z66" s="30">
        <v>2286.4</v>
      </c>
      <c r="AA66" s="30">
        <v>2233.1000000000004</v>
      </c>
      <c r="AB66" s="30">
        <v>2161.5</v>
      </c>
      <c r="AC66" s="30">
        <v>2488.6999999999998</v>
      </c>
      <c r="AD66" s="30">
        <v>2598.4</v>
      </c>
      <c r="AE66" s="30">
        <v>2538.3999999999996</v>
      </c>
      <c r="AF66" s="30">
        <v>2302.4</v>
      </c>
      <c r="AG66" s="30">
        <v>2112.8000000000002</v>
      </c>
      <c r="AH66" s="30">
        <v>2124.8000000000002</v>
      </c>
      <c r="AI66" s="30">
        <v>2207.9999999999991</v>
      </c>
      <c r="AJ66" s="30">
        <v>2224.3000000000002</v>
      </c>
      <c r="AK66" s="30">
        <v>2487.1999999999998</v>
      </c>
      <c r="AL66" s="30">
        <v>2556.1999999999998</v>
      </c>
      <c r="AM66" s="30">
        <v>2474.1</v>
      </c>
      <c r="AN66" s="30">
        <v>2355</v>
      </c>
      <c r="AO66" s="30">
        <v>2461</v>
      </c>
      <c r="AP66" s="30">
        <v>2656</v>
      </c>
      <c r="AQ66" s="30">
        <v>2310</v>
      </c>
      <c r="AR66" s="30">
        <v>2132</v>
      </c>
      <c r="AS66" s="30">
        <v>2458</v>
      </c>
      <c r="AT66" s="30">
        <v>2563</v>
      </c>
      <c r="AU66" s="30">
        <v>2537</v>
      </c>
      <c r="AV66" s="30"/>
      <c r="AW66" s="2" t="s">
        <v>113</v>
      </c>
    </row>
    <row r="67" spans="1:52" x14ac:dyDescent="0.3">
      <c r="A67" s="25" t="s">
        <v>41</v>
      </c>
      <c r="B67" s="2" t="s">
        <v>114</v>
      </c>
      <c r="C67" s="35">
        <v>11012</v>
      </c>
      <c r="D67" s="35">
        <v>11656</v>
      </c>
      <c r="E67" s="35">
        <v>10726</v>
      </c>
      <c r="F67" s="35">
        <v>13085</v>
      </c>
      <c r="G67" s="35">
        <v>14106</v>
      </c>
      <c r="H67" s="35">
        <v>15436.4</v>
      </c>
      <c r="I67" s="35">
        <v>15714.4</v>
      </c>
      <c r="J67" s="35">
        <v>16548</v>
      </c>
      <c r="K67" s="4"/>
      <c r="L67" s="4"/>
      <c r="M67" s="4"/>
      <c r="N67" s="25" t="s">
        <v>41</v>
      </c>
      <c r="O67" s="2" t="s">
        <v>114</v>
      </c>
      <c r="P67" s="30">
        <v>2603.3000000000002</v>
      </c>
      <c r="Q67" s="30">
        <v>2759</v>
      </c>
      <c r="R67" s="30">
        <v>2858.4</v>
      </c>
      <c r="S67" s="30">
        <v>2791.2999999999993</v>
      </c>
      <c r="T67" s="30">
        <v>2715.1</v>
      </c>
      <c r="U67" s="30">
        <v>2940.9</v>
      </c>
      <c r="V67" s="30">
        <v>3014</v>
      </c>
      <c r="W67" s="30">
        <v>2985</v>
      </c>
      <c r="X67" s="30">
        <v>2608</v>
      </c>
      <c r="Y67" s="30">
        <v>2088</v>
      </c>
      <c r="Z67" s="30">
        <v>3044.8</v>
      </c>
      <c r="AA67" s="30">
        <v>2985.2</v>
      </c>
      <c r="AB67" s="30">
        <v>2887.4</v>
      </c>
      <c r="AC67" s="30">
        <v>3306.2</v>
      </c>
      <c r="AD67" s="30">
        <v>3510.2</v>
      </c>
      <c r="AE67" s="30">
        <v>3381.2000000000007</v>
      </c>
      <c r="AF67" s="30">
        <v>3262.8</v>
      </c>
      <c r="AG67" s="30">
        <v>3526.8</v>
      </c>
      <c r="AH67" s="30">
        <v>3671.2</v>
      </c>
      <c r="AI67" s="30">
        <v>3645.2000000000007</v>
      </c>
      <c r="AJ67" s="30">
        <v>3587.5</v>
      </c>
      <c r="AK67" s="30">
        <v>3933.2</v>
      </c>
      <c r="AL67" s="30">
        <v>4047.1</v>
      </c>
      <c r="AM67" s="30">
        <v>3868.6</v>
      </c>
      <c r="AN67" s="30">
        <v>3723</v>
      </c>
      <c r="AO67" s="30">
        <v>3940</v>
      </c>
      <c r="AP67" s="30">
        <v>4093.4</v>
      </c>
      <c r="AQ67" s="30">
        <v>3958</v>
      </c>
      <c r="AR67" s="30">
        <v>3661</v>
      </c>
      <c r="AS67" s="30">
        <v>4213</v>
      </c>
      <c r="AT67" s="30">
        <v>4363</v>
      </c>
      <c r="AU67" s="30">
        <v>4311</v>
      </c>
      <c r="AV67" s="30"/>
      <c r="AW67" s="2" t="s">
        <v>114</v>
      </c>
    </row>
    <row r="68" spans="1:52" x14ac:dyDescent="0.3">
      <c r="A68" s="25" t="s">
        <v>41</v>
      </c>
      <c r="B68" s="2" t="s">
        <v>115</v>
      </c>
      <c r="C68" s="35">
        <v>0</v>
      </c>
      <c r="D68" s="35">
        <v>0</v>
      </c>
      <c r="E68" s="35">
        <v>342</v>
      </c>
      <c r="F68" s="35">
        <v>351</v>
      </c>
      <c r="G68" s="35">
        <v>329</v>
      </c>
      <c r="H68" s="35">
        <v>315.60000000000002</v>
      </c>
      <c r="I68" s="35">
        <v>424.4</v>
      </c>
      <c r="J68" s="35">
        <v>648</v>
      </c>
      <c r="K68" s="4"/>
      <c r="L68" s="4"/>
      <c r="M68" s="4"/>
      <c r="N68" s="25" t="s">
        <v>41</v>
      </c>
      <c r="O68" s="2" t="s">
        <v>115</v>
      </c>
      <c r="P68" s="30">
        <v>0</v>
      </c>
      <c r="Q68" s="30">
        <v>0</v>
      </c>
      <c r="R68" s="30">
        <v>0</v>
      </c>
      <c r="S68" s="30">
        <v>0</v>
      </c>
      <c r="T68" s="30"/>
      <c r="U68" s="30"/>
      <c r="V68" s="30"/>
      <c r="W68" s="30"/>
      <c r="X68" s="30">
        <v>81</v>
      </c>
      <c r="Y68" s="30">
        <v>80</v>
      </c>
      <c r="Z68" s="30">
        <v>87</v>
      </c>
      <c r="AA68" s="30">
        <v>96</v>
      </c>
      <c r="AB68" s="30">
        <v>76</v>
      </c>
      <c r="AC68" s="30">
        <v>93</v>
      </c>
      <c r="AD68" s="30">
        <v>93</v>
      </c>
      <c r="AE68" s="30">
        <v>89</v>
      </c>
      <c r="AF68" s="30">
        <v>101</v>
      </c>
      <c r="AG68" s="30">
        <v>78.8</v>
      </c>
      <c r="AH68" s="30">
        <v>76.099999999999994</v>
      </c>
      <c r="AI68" s="30">
        <v>73.400000000000006</v>
      </c>
      <c r="AJ68" s="30">
        <v>86</v>
      </c>
      <c r="AK68" s="30">
        <v>77.2</v>
      </c>
      <c r="AL68" s="30">
        <v>88.9</v>
      </c>
      <c r="AM68" s="30">
        <v>63.5</v>
      </c>
      <c r="AN68" s="30">
        <v>91</v>
      </c>
      <c r="AO68" s="30">
        <v>89</v>
      </c>
      <c r="AP68" s="30">
        <v>124.4</v>
      </c>
      <c r="AQ68" s="30">
        <v>120</v>
      </c>
      <c r="AR68" s="30">
        <f>163</f>
        <v>163</v>
      </c>
      <c r="AS68" s="30">
        <v>172</v>
      </c>
      <c r="AT68" s="30">
        <v>152</v>
      </c>
      <c r="AU68" s="30">
        <v>161</v>
      </c>
      <c r="AV68" s="30"/>
      <c r="AW68" s="2" t="s">
        <v>115</v>
      </c>
    </row>
    <row r="69" spans="1:52" ht="16.2" thickBot="1" x14ac:dyDescent="0.35">
      <c r="A69" s="25"/>
      <c r="B69" s="8" t="s">
        <v>78</v>
      </c>
      <c r="C69" s="55">
        <f>SUM(C66:C68)</f>
        <v>21025</v>
      </c>
      <c r="D69" s="55">
        <f t="shared" ref="D69:J69" si="34">SUM(D66:D68)</f>
        <v>21077</v>
      </c>
      <c r="E69" s="55">
        <f t="shared" si="34"/>
        <v>19207</v>
      </c>
      <c r="F69" s="55">
        <f t="shared" si="34"/>
        <v>23223</v>
      </c>
      <c r="G69" s="55">
        <f t="shared" si="34"/>
        <v>23183</v>
      </c>
      <c r="H69" s="55">
        <f t="shared" si="34"/>
        <v>25493.799999999996</v>
      </c>
      <c r="I69" s="55">
        <f t="shared" si="34"/>
        <v>25920.800000000003</v>
      </c>
      <c r="J69" s="55">
        <f t="shared" si="34"/>
        <v>26886</v>
      </c>
      <c r="K69" s="4"/>
      <c r="L69" s="4"/>
      <c r="M69" s="4"/>
      <c r="N69" s="25"/>
      <c r="O69" s="8" t="s">
        <v>78</v>
      </c>
      <c r="P69" s="55">
        <f t="shared" ref="P69:AC69" si="35">SUM(P66:P68)</f>
        <v>5138.8999999999996</v>
      </c>
      <c r="Q69" s="55">
        <f t="shared" si="35"/>
        <v>5353.9</v>
      </c>
      <c r="R69" s="55">
        <f t="shared" si="35"/>
        <v>5369.4</v>
      </c>
      <c r="S69" s="55">
        <f t="shared" si="35"/>
        <v>5162.7999999999993</v>
      </c>
      <c r="T69" s="55">
        <f t="shared" si="35"/>
        <v>4955.1000000000004</v>
      </c>
      <c r="U69" s="55">
        <f t="shared" si="35"/>
        <v>5341.3</v>
      </c>
      <c r="V69" s="55">
        <f t="shared" si="35"/>
        <v>5430.6</v>
      </c>
      <c r="W69" s="55">
        <f t="shared" si="35"/>
        <v>5349</v>
      </c>
      <c r="X69" s="55">
        <f t="shared" si="35"/>
        <v>4714.8</v>
      </c>
      <c r="Y69" s="55">
        <f t="shared" si="35"/>
        <v>3761.7</v>
      </c>
      <c r="Z69" s="55">
        <f t="shared" si="35"/>
        <v>5418.2000000000007</v>
      </c>
      <c r="AA69" s="55">
        <f t="shared" si="35"/>
        <v>5314.3</v>
      </c>
      <c r="AB69" s="55">
        <f t="shared" si="35"/>
        <v>5124.8999999999996</v>
      </c>
      <c r="AC69" s="55">
        <f t="shared" si="35"/>
        <v>5887.9</v>
      </c>
      <c r="AD69" s="55">
        <f>SUM(AD66:AD68)</f>
        <v>6201.6</v>
      </c>
      <c r="AE69" s="55">
        <f>SUM(AE66:AE68)</f>
        <v>6008.6</v>
      </c>
      <c r="AF69" s="55">
        <f>SUM(AF66:AF68)</f>
        <v>5666.2000000000007</v>
      </c>
      <c r="AG69" s="55">
        <f t="shared" ref="AG69:AH69" si="36">SUM(AG66:AG68)</f>
        <v>5718.4000000000005</v>
      </c>
      <c r="AH69" s="55">
        <f t="shared" si="36"/>
        <v>5872.1</v>
      </c>
      <c r="AI69" s="55">
        <f>SUM(AI66:AI68)</f>
        <v>5926.5999999999995</v>
      </c>
      <c r="AJ69" s="55">
        <f>SUM(AJ66:AJ68)</f>
        <v>5897.8</v>
      </c>
      <c r="AK69" s="55">
        <f t="shared" ref="AK69:AL69" si="37">SUM(AK66:AK68)</f>
        <v>6497.5999999999995</v>
      </c>
      <c r="AL69" s="55">
        <f t="shared" si="37"/>
        <v>6692.1999999999989</v>
      </c>
      <c r="AM69" s="55">
        <f>SUM(AM66:AM68)</f>
        <v>6406.2</v>
      </c>
      <c r="AN69" s="55">
        <f>SUM(AN66:AN68)</f>
        <v>6169</v>
      </c>
      <c r="AO69" s="55">
        <f t="shared" ref="AO69:AP69" si="38">SUM(AO66:AO68)</f>
        <v>6490</v>
      </c>
      <c r="AP69" s="55">
        <f t="shared" si="38"/>
        <v>6873.7999999999993</v>
      </c>
      <c r="AQ69" s="55">
        <f>SUM(AQ66:AQ68)</f>
        <v>6388</v>
      </c>
      <c r="AR69" s="55">
        <f>SUM(AR66:AR68)</f>
        <v>5956</v>
      </c>
      <c r="AS69" s="55">
        <f t="shared" ref="AS69:AT69" si="39">SUM(AS66:AS68)</f>
        <v>6843</v>
      </c>
      <c r="AT69" s="55">
        <f t="shared" si="39"/>
        <v>7078</v>
      </c>
      <c r="AU69" s="55">
        <f>SUM(AU66:AU68)</f>
        <v>7009</v>
      </c>
      <c r="AV69" s="35"/>
      <c r="AW69" s="8" t="s">
        <v>78</v>
      </c>
    </row>
    <row r="70" spans="1:52" ht="16.2" thickTop="1" x14ac:dyDescent="0.3">
      <c r="A70" s="4"/>
      <c r="B70" s="4"/>
      <c r="C70" s="4"/>
      <c r="D70" s="4"/>
      <c r="E70" s="4"/>
      <c r="F70" s="4"/>
      <c r="G70" s="4"/>
      <c r="H70" s="4"/>
      <c r="I70"/>
      <c r="J70" s="4"/>
      <c r="K70" s="4"/>
      <c r="L70" s="4"/>
      <c r="M70" s="4"/>
      <c r="N70" s="4"/>
      <c r="O70" s="4"/>
      <c r="P70" s="30"/>
      <c r="Q70" s="30"/>
      <c r="R70" s="30"/>
      <c r="S70" s="30"/>
      <c r="T70" s="30"/>
      <c r="U70" s="30"/>
      <c r="V70" s="30"/>
      <c r="W70" s="30"/>
      <c r="X70" s="30"/>
      <c r="Y70" s="30"/>
      <c r="Z70" s="30"/>
      <c r="AA70" s="30"/>
      <c r="AB70" s="30"/>
      <c r="AC70" s="30"/>
      <c r="AD70" s="30"/>
      <c r="AE70" s="30"/>
      <c r="AF70" s="30"/>
      <c r="AG70" s="30"/>
      <c r="AH70" s="30"/>
      <c r="AI70"/>
      <c r="AJ70" s="30"/>
      <c r="AK70" s="30"/>
      <c r="AL70" s="30"/>
      <c r="AM70"/>
      <c r="AN70"/>
      <c r="AO70" s="30"/>
      <c r="AV70" s="30"/>
      <c r="AW70" s="4"/>
    </row>
    <row r="71" spans="1:52" x14ac:dyDescent="0.3">
      <c r="A71" s="4"/>
      <c r="B71" s="4"/>
      <c r="C71" s="4"/>
      <c r="D71" s="4"/>
      <c r="E71" s="68"/>
      <c r="F71" s="4"/>
      <c r="G71" s="4"/>
      <c r="H71" s="4"/>
      <c r="I71"/>
      <c r="J71" s="4"/>
      <c r="K71" s="4"/>
      <c r="L71" s="4"/>
      <c r="M71" s="4"/>
      <c r="N71" s="4"/>
      <c r="O71" s="4"/>
      <c r="P71" s="30"/>
      <c r="Q71" s="30"/>
      <c r="R71" s="30"/>
      <c r="S71" s="30"/>
      <c r="T71" s="30"/>
      <c r="U71" s="30"/>
      <c r="V71" s="30"/>
      <c r="W71" s="30"/>
      <c r="X71" s="30"/>
      <c r="Y71" s="30"/>
      <c r="Z71" s="30"/>
      <c r="AA71" s="30"/>
      <c r="AB71" s="30"/>
      <c r="AC71" s="30"/>
      <c r="AD71" s="30"/>
      <c r="AE71" s="30"/>
      <c r="AF71" s="30"/>
      <c r="AG71" s="30"/>
      <c r="AH71" s="30"/>
      <c r="AI71"/>
      <c r="AJ71" s="30"/>
      <c r="AK71" s="30"/>
      <c r="AL71" s="30"/>
      <c r="AM71"/>
      <c r="AN71"/>
      <c r="AO71" s="30"/>
      <c r="AV71" s="30"/>
      <c r="AW71" s="4"/>
    </row>
    <row r="72" spans="1:52" x14ac:dyDescent="0.3">
      <c r="A72" s="18" t="s">
        <v>75</v>
      </c>
      <c r="B72" s="9" t="s">
        <v>122</v>
      </c>
      <c r="C72" s="9">
        <v>2018</v>
      </c>
      <c r="D72" s="9">
        <v>2019</v>
      </c>
      <c r="E72" s="9">
        <v>2020</v>
      </c>
      <c r="F72" s="10">
        <v>2021</v>
      </c>
      <c r="G72" s="11">
        <v>2022</v>
      </c>
      <c r="H72" s="12">
        <v>2023</v>
      </c>
      <c r="I72" s="13">
        <v>2024</v>
      </c>
      <c r="J72" s="14">
        <v>2025</v>
      </c>
      <c r="K72" s="4"/>
      <c r="L72" s="4"/>
      <c r="M72" s="4"/>
      <c r="N72" s="18" t="s">
        <v>75</v>
      </c>
      <c r="O72" s="9" t="s">
        <v>122</v>
      </c>
      <c r="P72" s="18" t="s">
        <v>119</v>
      </c>
      <c r="Q72" s="18" t="s">
        <v>120</v>
      </c>
      <c r="R72" s="18" t="s">
        <v>11</v>
      </c>
      <c r="S72" s="19" t="s">
        <v>90</v>
      </c>
      <c r="T72" s="18" t="s">
        <v>13</v>
      </c>
      <c r="U72" s="18" t="s">
        <v>14</v>
      </c>
      <c r="V72" s="18" t="s">
        <v>91</v>
      </c>
      <c r="W72" s="19" t="s">
        <v>92</v>
      </c>
      <c r="X72" s="18" t="s">
        <v>93</v>
      </c>
      <c r="Y72" s="18" t="s">
        <v>94</v>
      </c>
      <c r="Z72" s="18" t="s">
        <v>95</v>
      </c>
      <c r="AA72" s="19" t="s">
        <v>96</v>
      </c>
      <c r="AB72" s="18" t="s">
        <v>97</v>
      </c>
      <c r="AC72" s="18" t="s">
        <v>98</v>
      </c>
      <c r="AD72" s="18" t="s">
        <v>99</v>
      </c>
      <c r="AE72" s="19" t="s">
        <v>100</v>
      </c>
      <c r="AF72" s="18" t="s">
        <v>101</v>
      </c>
      <c r="AG72" s="18" t="s">
        <v>102</v>
      </c>
      <c r="AH72" s="18" t="s">
        <v>103</v>
      </c>
      <c r="AI72" s="19" t="s">
        <v>104</v>
      </c>
      <c r="AJ72" s="18" t="s">
        <v>105</v>
      </c>
      <c r="AK72" s="18" t="s">
        <v>106</v>
      </c>
      <c r="AL72" s="18" t="s">
        <v>107</v>
      </c>
      <c r="AM72" s="19" t="s">
        <v>32</v>
      </c>
      <c r="AN72" s="18" t="s">
        <v>33</v>
      </c>
      <c r="AO72" s="18" t="s">
        <v>34</v>
      </c>
      <c r="AP72" s="18" t="s">
        <v>108</v>
      </c>
      <c r="AQ72" s="19" t="s">
        <v>109</v>
      </c>
      <c r="AR72" s="18" t="s">
        <v>110</v>
      </c>
      <c r="AS72" s="18" t="s">
        <v>111</v>
      </c>
      <c r="AT72" s="18" t="s">
        <v>121</v>
      </c>
      <c r="AU72" s="19" t="s">
        <v>112</v>
      </c>
      <c r="AV72" s="18"/>
      <c r="AW72" s="9" t="s">
        <v>122</v>
      </c>
    </row>
    <row r="73" spans="1:52" x14ac:dyDescent="0.3">
      <c r="A73" s="25" t="s">
        <v>41</v>
      </c>
      <c r="B73" s="2" t="s">
        <v>116</v>
      </c>
      <c r="C73" s="35">
        <v>7666</v>
      </c>
      <c r="D73" s="35">
        <v>7843</v>
      </c>
      <c r="E73" s="35">
        <v>7656</v>
      </c>
      <c r="F73" s="35">
        <v>8711</v>
      </c>
      <c r="G73" s="35">
        <v>9421</v>
      </c>
      <c r="H73" s="35">
        <v>10240.627</v>
      </c>
      <c r="I73" s="35">
        <v>10272.197921999999</v>
      </c>
      <c r="J73" s="35">
        <v>10486</v>
      </c>
      <c r="K73" s="4"/>
      <c r="L73" s="4"/>
      <c r="M73" s="4"/>
      <c r="N73" s="25" t="s">
        <v>41</v>
      </c>
      <c r="O73" s="2" t="s">
        <v>116</v>
      </c>
      <c r="P73" s="30">
        <v>1867.2</v>
      </c>
      <c r="Q73" s="30">
        <v>1961.2</v>
      </c>
      <c r="R73" s="30">
        <v>1930</v>
      </c>
      <c r="S73" s="30">
        <v>1907.6000000000004</v>
      </c>
      <c r="T73" s="30">
        <v>1846.1999999999998</v>
      </c>
      <c r="U73" s="30">
        <v>2007.6</v>
      </c>
      <c r="V73" s="30">
        <v>1990.3999999999999</v>
      </c>
      <c r="W73" s="30">
        <v>1998.8000000000002</v>
      </c>
      <c r="X73" s="30">
        <v>1829.9</v>
      </c>
      <c r="Y73" s="30">
        <v>1717</v>
      </c>
      <c r="Z73" s="30">
        <v>2051.5</v>
      </c>
      <c r="AA73" s="30">
        <v>2057.6000000000004</v>
      </c>
      <c r="AB73" s="30">
        <v>2038.8</v>
      </c>
      <c r="AC73" s="30">
        <v>2235.9</v>
      </c>
      <c r="AD73" s="30">
        <v>2218.1999999999998</v>
      </c>
      <c r="AE73" s="30">
        <v>2218.1000000000004</v>
      </c>
      <c r="AF73" s="30">
        <v>2132.5</v>
      </c>
      <c r="AG73" s="30">
        <v>2410</v>
      </c>
      <c r="AH73" s="30">
        <v>2353.2979999999998</v>
      </c>
      <c r="AI73" s="30">
        <v>2525.2020000000002</v>
      </c>
      <c r="AJ73" s="30">
        <v>2439.8000000000002</v>
      </c>
      <c r="AK73" s="30">
        <v>2701.2</v>
      </c>
      <c r="AL73" s="30">
        <v>2657.1</v>
      </c>
      <c r="AM73" s="30">
        <v>2442.527</v>
      </c>
      <c r="AN73" s="30">
        <v>2500.7950000000001</v>
      </c>
      <c r="AO73" s="30">
        <v>2698</v>
      </c>
      <c r="AP73" s="30">
        <v>2665.0712999999996</v>
      </c>
      <c r="AQ73" s="30">
        <v>2408.3316220000002</v>
      </c>
      <c r="AR73" s="30">
        <v>2403</v>
      </c>
      <c r="AS73" s="30">
        <v>2781</v>
      </c>
      <c r="AT73" s="30">
        <v>2696</v>
      </c>
      <c r="AU73" s="30">
        <v>2606</v>
      </c>
      <c r="AV73" s="30"/>
      <c r="AW73" s="2" t="s">
        <v>116</v>
      </c>
    </row>
    <row r="74" spans="1:52" x14ac:dyDescent="0.3">
      <c r="A74" s="25" t="s">
        <v>41</v>
      </c>
      <c r="B74" s="2" t="s">
        <v>117</v>
      </c>
      <c r="C74" s="35">
        <v>11507</v>
      </c>
      <c r="D74" s="35">
        <v>11398</v>
      </c>
      <c r="E74" s="35">
        <v>9462</v>
      </c>
      <c r="F74" s="35">
        <v>12094</v>
      </c>
      <c r="G74" s="35">
        <v>11164</v>
      </c>
      <c r="H74" s="35">
        <v>12191.088000000002</v>
      </c>
      <c r="I74" s="35">
        <v>12191.510288000001</v>
      </c>
      <c r="J74" s="35">
        <v>13410</v>
      </c>
      <c r="K74" s="4"/>
      <c r="L74" s="4"/>
      <c r="M74" s="4"/>
      <c r="N74" s="25" t="s">
        <v>41</v>
      </c>
      <c r="O74" s="2" t="s">
        <v>117</v>
      </c>
      <c r="P74" s="30">
        <v>2810</v>
      </c>
      <c r="Q74" s="30">
        <v>2936.4</v>
      </c>
      <c r="R74" s="30">
        <v>2962.2</v>
      </c>
      <c r="S74" s="30">
        <v>2798.4000000000015</v>
      </c>
      <c r="T74" s="30">
        <v>2663</v>
      </c>
      <c r="U74" s="30">
        <v>2884.3</v>
      </c>
      <c r="V74" s="30">
        <v>2965.9</v>
      </c>
      <c r="W74" s="30">
        <v>2884.7999999999993</v>
      </c>
      <c r="X74" s="30">
        <v>2379.3000000000002</v>
      </c>
      <c r="Y74" s="30">
        <v>1589.3</v>
      </c>
      <c r="Z74" s="30">
        <v>2817.3</v>
      </c>
      <c r="AA74" s="30">
        <v>2676.0999999999995</v>
      </c>
      <c r="AB74" s="30">
        <v>2524.1</v>
      </c>
      <c r="AC74" s="30">
        <v>3045.8</v>
      </c>
      <c r="AD74" s="30">
        <v>3340.1</v>
      </c>
      <c r="AE74" s="30">
        <v>3184</v>
      </c>
      <c r="AF74" s="30">
        <v>2884</v>
      </c>
      <c r="AG74" s="30">
        <v>2747.5</v>
      </c>
      <c r="AH74" s="30">
        <v>2801</v>
      </c>
      <c r="AI74" s="30">
        <v>2731.5</v>
      </c>
      <c r="AJ74" s="30">
        <v>2756.6</v>
      </c>
      <c r="AK74" s="30">
        <v>3155.6</v>
      </c>
      <c r="AL74" s="30">
        <v>3258.4</v>
      </c>
      <c r="AM74" s="30">
        <v>3020.4880000000012</v>
      </c>
      <c r="AN74" s="30">
        <v>2831.0281999999997</v>
      </c>
      <c r="AO74" s="30">
        <v>3147</v>
      </c>
      <c r="AP74" s="30">
        <v>3189.9735999999998</v>
      </c>
      <c r="AQ74" s="30">
        <v>3023.5084880000009</v>
      </c>
      <c r="AR74" s="30">
        <v>2862</v>
      </c>
      <c r="AS74" s="30">
        <v>3462</v>
      </c>
      <c r="AT74" s="30">
        <v>3606</v>
      </c>
      <c r="AU74" s="30">
        <v>3480</v>
      </c>
      <c r="AV74" s="30"/>
      <c r="AW74" s="2" t="s">
        <v>117</v>
      </c>
    </row>
    <row r="75" spans="1:52" x14ac:dyDescent="0.3">
      <c r="A75" s="25" t="s">
        <v>41</v>
      </c>
      <c r="B75" s="2" t="s">
        <v>118</v>
      </c>
      <c r="C75" s="35">
        <v>1852</v>
      </c>
      <c r="D75" s="35">
        <v>1834</v>
      </c>
      <c r="E75" s="35">
        <v>1746.4</v>
      </c>
      <c r="F75" s="35">
        <v>2068</v>
      </c>
      <c r="G75" s="35">
        <v>2106.1000000000004</v>
      </c>
      <c r="H75" s="35">
        <v>2405.5860000000002</v>
      </c>
      <c r="I75" s="35">
        <v>2383.9628259999999</v>
      </c>
      <c r="J75" s="35">
        <v>2169</v>
      </c>
      <c r="K75" s="4"/>
      <c r="L75" s="4"/>
      <c r="M75" s="4"/>
      <c r="N75" s="25" t="s">
        <v>41</v>
      </c>
      <c r="O75" s="2" t="s">
        <v>118</v>
      </c>
      <c r="P75" s="30">
        <v>461.7</v>
      </c>
      <c r="Q75" s="30">
        <v>456.29999999999995</v>
      </c>
      <c r="R75" s="30">
        <v>477.2</v>
      </c>
      <c r="S75" s="30">
        <v>456.79999999999995</v>
      </c>
      <c r="T75" s="30">
        <v>445.4</v>
      </c>
      <c r="U75" s="30">
        <v>449.4</v>
      </c>
      <c r="V75" s="30">
        <v>474.29999999999995</v>
      </c>
      <c r="W75" s="30">
        <v>464.90000000000009</v>
      </c>
      <c r="X75" s="30">
        <v>424.6</v>
      </c>
      <c r="Y75" s="30">
        <v>375.4</v>
      </c>
      <c r="Z75" s="30">
        <v>462.4</v>
      </c>
      <c r="AA75" s="30">
        <v>484</v>
      </c>
      <c r="AB75" s="30">
        <v>476</v>
      </c>
      <c r="AC75" s="30">
        <v>513.20000000000005</v>
      </c>
      <c r="AD75" s="30">
        <v>550.29999999999995</v>
      </c>
      <c r="AE75" s="30">
        <v>528.5</v>
      </c>
      <c r="AF75" s="30">
        <v>548.70000000000005</v>
      </c>
      <c r="AG75" s="30">
        <v>398</v>
      </c>
      <c r="AH75" s="30">
        <f>550*1.167</f>
        <v>641.85</v>
      </c>
      <c r="AI75" s="30">
        <v>517.55000000000018</v>
      </c>
      <c r="AJ75" s="30">
        <v>615.4</v>
      </c>
      <c r="AK75" s="30">
        <v>564</v>
      </c>
      <c r="AL75" s="30">
        <v>678.8</v>
      </c>
      <c r="AM75" s="30">
        <v>547.38600000000019</v>
      </c>
      <c r="AN75" s="30">
        <v>603.09199999999998</v>
      </c>
      <c r="AO75" s="30">
        <v>556</v>
      </c>
      <c r="AP75" s="30">
        <v>655.04199999999992</v>
      </c>
      <c r="AQ75" s="30">
        <v>569.82882600000016</v>
      </c>
      <c r="AR75" s="30">
        <v>528</v>
      </c>
      <c r="AS75" s="30">
        <v>428</v>
      </c>
      <c r="AT75" s="30">
        <v>625</v>
      </c>
      <c r="AU75" s="30">
        <v>588</v>
      </c>
      <c r="AV75" s="30"/>
      <c r="AW75" s="2" t="s">
        <v>118</v>
      </c>
    </row>
    <row r="76" spans="1:52" x14ac:dyDescent="0.3">
      <c r="A76" s="25" t="s">
        <v>41</v>
      </c>
      <c r="B76" s="2" t="s">
        <v>115</v>
      </c>
      <c r="C76" s="35">
        <v>0</v>
      </c>
      <c r="D76" s="35">
        <v>0</v>
      </c>
      <c r="E76" s="35">
        <v>344</v>
      </c>
      <c r="F76" s="35">
        <v>350</v>
      </c>
      <c r="G76" s="35">
        <v>491.4</v>
      </c>
      <c r="H76" s="35">
        <v>656.2</v>
      </c>
      <c r="I76" s="35">
        <v>1073</v>
      </c>
      <c r="J76" s="35">
        <v>821</v>
      </c>
      <c r="K76" s="4"/>
      <c r="L76" s="4"/>
      <c r="M76" s="4"/>
      <c r="N76" s="25" t="s">
        <v>41</v>
      </c>
      <c r="O76" s="2" t="s">
        <v>115</v>
      </c>
      <c r="P76" s="30">
        <v>0</v>
      </c>
      <c r="Q76" s="30">
        <v>0</v>
      </c>
      <c r="R76" s="30">
        <v>0</v>
      </c>
      <c r="S76" s="30">
        <v>0</v>
      </c>
      <c r="T76" s="30">
        <v>0</v>
      </c>
      <c r="U76" s="30">
        <v>0</v>
      </c>
      <c r="V76" s="30">
        <v>0</v>
      </c>
      <c r="W76" s="30">
        <v>0</v>
      </c>
      <c r="X76" s="30">
        <v>81</v>
      </c>
      <c r="Y76" s="30">
        <v>80</v>
      </c>
      <c r="Z76" s="30">
        <v>87</v>
      </c>
      <c r="AA76" s="30">
        <v>96</v>
      </c>
      <c r="AB76" s="30">
        <v>86</v>
      </c>
      <c r="AC76" s="30">
        <v>93</v>
      </c>
      <c r="AD76" s="30">
        <v>93</v>
      </c>
      <c r="AE76" s="30">
        <v>78</v>
      </c>
      <c r="AF76" s="30">
        <v>101</v>
      </c>
      <c r="AG76" s="30">
        <v>162</v>
      </c>
      <c r="AH76" s="30">
        <v>76</v>
      </c>
      <c r="AI76" s="30">
        <v>152.4</v>
      </c>
      <c r="AJ76" s="30">
        <v>86</v>
      </c>
      <c r="AK76" s="30">
        <v>77.2</v>
      </c>
      <c r="AL76" s="30">
        <v>98</v>
      </c>
      <c r="AM76" s="30">
        <v>396</v>
      </c>
      <c r="AN76" s="30">
        <v>234</v>
      </c>
      <c r="AO76" s="30">
        <v>89</v>
      </c>
      <c r="AP76" s="30">
        <v>364</v>
      </c>
      <c r="AQ76" s="30">
        <v>386</v>
      </c>
      <c r="AR76" s="30">
        <v>163</v>
      </c>
      <c r="AS76" s="30">
        <v>172</v>
      </c>
      <c r="AT76" s="30">
        <v>151</v>
      </c>
      <c r="AU76" s="30">
        <v>335</v>
      </c>
      <c r="AV76" s="30"/>
      <c r="AW76" s="2" t="s">
        <v>115</v>
      </c>
    </row>
    <row r="77" spans="1:52" ht="16.2" thickBot="1" x14ac:dyDescent="0.35">
      <c r="A77" s="25"/>
      <c r="B77" s="8" t="s">
        <v>78</v>
      </c>
      <c r="C77" s="55">
        <f>SUM(C73:C76)</f>
        <v>21025</v>
      </c>
      <c r="D77" s="55">
        <f t="shared" ref="D77:F77" si="40">SUM(D73:D76)</f>
        <v>21075</v>
      </c>
      <c r="E77" s="55">
        <f t="shared" si="40"/>
        <v>19208.400000000001</v>
      </c>
      <c r="F77" s="55">
        <f t="shared" si="40"/>
        <v>23223</v>
      </c>
      <c r="G77" s="55">
        <f>SUM(G73:G76)</f>
        <v>23182.5</v>
      </c>
      <c r="H77" s="55">
        <f>SUM(H73:H76)</f>
        <v>25493.501000000004</v>
      </c>
      <c r="I77" s="55">
        <f>SUM(I73:I76)</f>
        <v>25920.671036</v>
      </c>
      <c r="J77" s="55">
        <f>SUM(J73:J76)</f>
        <v>26886</v>
      </c>
      <c r="K77" s="68"/>
      <c r="L77" s="4"/>
      <c r="M77" s="4"/>
      <c r="N77" s="25"/>
      <c r="O77" s="8" t="s">
        <v>78</v>
      </c>
      <c r="P77" s="55">
        <f t="shared" ref="P77:AU77" si="41">SUM(P73:P76)</f>
        <v>5138.8999999999996</v>
      </c>
      <c r="Q77" s="55">
        <f t="shared" si="41"/>
        <v>5353.9000000000005</v>
      </c>
      <c r="R77" s="55">
        <f t="shared" si="41"/>
        <v>5369.4</v>
      </c>
      <c r="S77" s="55">
        <f t="shared" si="41"/>
        <v>5162.800000000002</v>
      </c>
      <c r="T77" s="55">
        <f t="shared" si="41"/>
        <v>4954.5999999999995</v>
      </c>
      <c r="U77" s="55">
        <f t="shared" si="41"/>
        <v>5341.2999999999993</v>
      </c>
      <c r="V77" s="55">
        <f t="shared" si="41"/>
        <v>5430.6</v>
      </c>
      <c r="W77" s="55">
        <f t="shared" si="41"/>
        <v>5348.5</v>
      </c>
      <c r="X77" s="55">
        <f t="shared" si="41"/>
        <v>4714.8000000000011</v>
      </c>
      <c r="Y77" s="55">
        <f t="shared" si="41"/>
        <v>3761.7000000000003</v>
      </c>
      <c r="Z77" s="55">
        <f t="shared" si="41"/>
        <v>5418.2</v>
      </c>
      <c r="AA77" s="55">
        <f t="shared" si="41"/>
        <v>5313.7</v>
      </c>
      <c r="AB77" s="55">
        <f t="shared" si="41"/>
        <v>5124.8999999999996</v>
      </c>
      <c r="AC77" s="55">
        <f t="shared" si="41"/>
        <v>5887.9000000000005</v>
      </c>
      <c r="AD77" s="55">
        <f t="shared" si="41"/>
        <v>6201.5999999999995</v>
      </c>
      <c r="AE77" s="55">
        <f t="shared" si="41"/>
        <v>6008.6</v>
      </c>
      <c r="AF77" s="55">
        <f t="shared" si="41"/>
        <v>5666.2</v>
      </c>
      <c r="AG77" s="55">
        <f t="shared" si="41"/>
        <v>5717.5</v>
      </c>
      <c r="AH77" s="55">
        <f t="shared" si="41"/>
        <v>5872.1480000000001</v>
      </c>
      <c r="AI77" s="55">
        <f t="shared" si="41"/>
        <v>5926.652</v>
      </c>
      <c r="AJ77" s="55">
        <f t="shared" si="41"/>
        <v>5897.7999999999993</v>
      </c>
      <c r="AK77" s="55">
        <f t="shared" si="41"/>
        <v>6497.9999999999991</v>
      </c>
      <c r="AL77" s="55">
        <f t="shared" si="41"/>
        <v>6692.3</v>
      </c>
      <c r="AM77" s="55">
        <f t="shared" si="41"/>
        <v>6406.4010000000017</v>
      </c>
      <c r="AN77" s="55">
        <f t="shared" si="41"/>
        <v>6168.9151999999995</v>
      </c>
      <c r="AO77" s="55">
        <f t="shared" si="41"/>
        <v>6490</v>
      </c>
      <c r="AP77" s="55">
        <f t="shared" si="41"/>
        <v>6874.0868999999984</v>
      </c>
      <c r="AQ77" s="55">
        <f t="shared" si="41"/>
        <v>6387.6689360000009</v>
      </c>
      <c r="AR77" s="55">
        <f t="shared" si="41"/>
        <v>5956</v>
      </c>
      <c r="AS77" s="55">
        <f t="shared" si="41"/>
        <v>6843</v>
      </c>
      <c r="AT77" s="55">
        <f t="shared" si="41"/>
        <v>7078</v>
      </c>
      <c r="AU77" s="55">
        <f t="shared" si="41"/>
        <v>7009</v>
      </c>
      <c r="AV77" s="35"/>
      <c r="AW77" s="8" t="s">
        <v>78</v>
      </c>
    </row>
    <row r="78" spans="1:52" ht="16.2" thickTop="1" x14ac:dyDescent="0.3">
      <c r="A78"/>
      <c r="B78"/>
      <c r="C78"/>
      <c r="D78"/>
      <c r="E78"/>
      <c r="F78"/>
      <c r="G78"/>
      <c r="H78"/>
      <c r="I78"/>
      <c r="J78"/>
      <c r="K78"/>
      <c r="L78"/>
      <c r="M78"/>
      <c r="N78"/>
      <c r="O78"/>
      <c r="P78" s="69"/>
      <c r="Q78" s="69"/>
      <c r="R78" s="69"/>
      <c r="S78" s="69"/>
      <c r="T78" s="69"/>
      <c r="U78" s="69"/>
      <c r="V78" s="69"/>
      <c r="W78" s="69"/>
      <c r="X78" s="69"/>
      <c r="Y78" s="69"/>
      <c r="Z78" s="69"/>
      <c r="AA78" s="69"/>
      <c r="AB78" s="69"/>
      <c r="AC78" s="69"/>
      <c r="AD78" s="69"/>
      <c r="AE78" s="69"/>
      <c r="AF78" s="69"/>
      <c r="AG78" s="69"/>
      <c r="AH78"/>
      <c r="AI78" s="61"/>
      <c r="AJ78" s="61"/>
      <c r="AK78" s="61"/>
      <c r="AL78" s="61"/>
      <c r="AM78" s="61"/>
      <c r="AN78" s="61"/>
      <c r="AO78" s="61"/>
      <c r="AP78" s="61"/>
      <c r="AQ78" s="61"/>
      <c r="AR78" s="61"/>
      <c r="AS78" s="61"/>
      <c r="AT78" s="61"/>
      <c r="AU78" s="61"/>
      <c r="AV78" s="61"/>
      <c r="AW78" s="53"/>
    </row>
    <row r="79" spans="1:52" x14ac:dyDescent="0.3">
      <c r="A79"/>
      <c r="B79" s="2" t="s">
        <v>123</v>
      </c>
      <c r="C79"/>
      <c r="D79"/>
      <c r="E79"/>
      <c r="F79"/>
      <c r="G79" s="61"/>
      <c r="H79"/>
      <c r="I79"/>
      <c r="J79"/>
      <c r="K79"/>
      <c r="L79"/>
      <c r="M79"/>
      <c r="N79"/>
      <c r="O79"/>
      <c r="P79" s="69"/>
      <c r="Q79" s="69"/>
      <c r="R79" s="69"/>
      <c r="S79" s="69"/>
      <c r="T79" s="69"/>
      <c r="U79" s="69"/>
      <c r="V79" s="69"/>
      <c r="W79" s="69"/>
      <c r="X79" s="69"/>
      <c r="Y79" s="69"/>
      <c r="Z79" s="69"/>
      <c r="AA79" s="69"/>
      <c r="AB79" s="69"/>
      <c r="AC79" s="70"/>
      <c r="AD79" s="71"/>
      <c r="AE79" s="71"/>
      <c r="AF79" s="71"/>
      <c r="AG79" s="71"/>
      <c r="AH79"/>
      <c r="AI79" s="61"/>
      <c r="AJ79" s="61"/>
      <c r="AK79" s="61"/>
      <c r="AL79" s="61"/>
      <c r="AM79" s="61"/>
      <c r="AN79" s="61"/>
      <c r="AO79" s="61"/>
      <c r="AP79" s="61"/>
      <c r="AQ79" s="61"/>
      <c r="AR79" s="72"/>
      <c r="AS79" s="72"/>
      <c r="AT79" s="72"/>
      <c r="AU79" s="61"/>
      <c r="AV79" s="61"/>
      <c r="AW79" s="53"/>
    </row>
    <row r="80" spans="1:52" x14ac:dyDescent="0.3">
      <c r="A80"/>
      <c r="B80"/>
      <c r="C80"/>
      <c r="D80"/>
      <c r="E80"/>
      <c r="F80"/>
      <c r="G80"/>
      <c r="H80"/>
      <c r="I80"/>
      <c r="J80"/>
      <c r="K80"/>
      <c r="L80"/>
      <c r="M80"/>
      <c r="N80"/>
      <c r="O80"/>
      <c r="P80" s="69"/>
      <c r="Q80" s="69"/>
      <c r="R80" s="69"/>
      <c r="S80" s="69"/>
      <c r="T80" s="69"/>
      <c r="U80" s="69"/>
      <c r="V80" s="69"/>
      <c r="W80" s="69"/>
      <c r="X80" s="69"/>
      <c r="Y80" s="69"/>
      <c r="Z80" s="69"/>
      <c r="AA80" s="69"/>
      <c r="AB80" s="69"/>
      <c r="AC80" s="69"/>
      <c r="AD80" s="69"/>
      <c r="AE80" s="69"/>
      <c r="AF80" s="69"/>
      <c r="AG80" s="69"/>
      <c r="AH80"/>
      <c r="AI80" s="61"/>
      <c r="AJ80" s="61"/>
      <c r="AK80" s="61"/>
      <c r="AL80" s="61"/>
      <c r="AM80" s="61"/>
      <c r="AN80" s="61"/>
      <c r="AO80" s="61"/>
      <c r="AP80" s="61"/>
      <c r="AQ80" s="61"/>
      <c r="AR80" s="61"/>
      <c r="AS80" s="61"/>
      <c r="AT80" s="61"/>
      <c r="AU80" s="33"/>
      <c r="AV80" s="33"/>
      <c r="AW80" s="2"/>
      <c r="AX80" s="2"/>
      <c r="AY80" s="6"/>
      <c r="AZ80" s="6"/>
    </row>
    <row r="81" spans="1:57" x14ac:dyDescent="0.3">
      <c r="A81"/>
      <c r="B81"/>
      <c r="C81"/>
      <c r="D81"/>
      <c r="E81"/>
      <c r="F81"/>
      <c r="G81"/>
      <c r="H81"/>
      <c r="I81"/>
      <c r="J81"/>
      <c r="K81"/>
      <c r="L81"/>
      <c r="M81"/>
      <c r="N81"/>
      <c r="O81"/>
      <c r="P81" s="69"/>
      <c r="Q81" s="69"/>
      <c r="R81" s="69"/>
      <c r="S81" s="69"/>
      <c r="T81" s="69"/>
      <c r="U81" s="69"/>
      <c r="V81" s="69"/>
      <c r="W81" s="69"/>
      <c r="X81" s="69"/>
      <c r="Y81" s="69"/>
      <c r="Z81" s="69"/>
      <c r="AA81" s="69"/>
      <c r="AB81" s="69"/>
      <c r="AC81" s="69"/>
      <c r="AD81" s="69"/>
      <c r="AE81" s="69"/>
      <c r="AF81" s="69"/>
      <c r="AG81" s="69"/>
      <c r="AH81"/>
      <c r="AI81"/>
      <c r="AJ81"/>
      <c r="AK81"/>
      <c r="AL81"/>
      <c r="AM81"/>
      <c r="AN81"/>
      <c r="AO81"/>
      <c r="AU81" s="33"/>
      <c r="AV81" s="33"/>
      <c r="AW81" s="2"/>
      <c r="AX81" s="2"/>
      <c r="AY81" s="6"/>
      <c r="AZ81" s="6"/>
    </row>
    <row r="82" spans="1:57" s="2" customFormat="1" ht="18" customHeight="1" x14ac:dyDescent="0.3">
      <c r="A82" s="8" t="s">
        <v>124</v>
      </c>
      <c r="C82" s="9">
        <v>2018</v>
      </c>
      <c r="D82" s="9">
        <v>2019</v>
      </c>
      <c r="E82" s="9">
        <v>2020</v>
      </c>
      <c r="F82" s="73">
        <v>2021</v>
      </c>
      <c r="G82" s="11">
        <v>2022</v>
      </c>
      <c r="H82" s="12">
        <v>2023</v>
      </c>
      <c r="I82" s="13">
        <v>2024</v>
      </c>
      <c r="J82" s="14">
        <v>2025</v>
      </c>
      <c r="K82" s="16" t="s">
        <v>89</v>
      </c>
      <c r="L82" s="17"/>
      <c r="M82" s="17"/>
      <c r="N82" s="8" t="s">
        <v>124</v>
      </c>
      <c r="P82" s="18" t="s">
        <v>119</v>
      </c>
      <c r="Q82" s="18" t="s">
        <v>120</v>
      </c>
      <c r="R82" s="18" t="s">
        <v>11</v>
      </c>
      <c r="S82" s="19" t="s">
        <v>90</v>
      </c>
      <c r="T82" s="18" t="s">
        <v>13</v>
      </c>
      <c r="U82" s="18" t="s">
        <v>14</v>
      </c>
      <c r="V82" s="18" t="s">
        <v>91</v>
      </c>
      <c r="W82" s="19" t="s">
        <v>92</v>
      </c>
      <c r="X82" s="18" t="s">
        <v>93</v>
      </c>
      <c r="Y82" s="18" t="s">
        <v>94</v>
      </c>
      <c r="Z82" s="18" t="s">
        <v>95</v>
      </c>
      <c r="AA82" s="19" t="s">
        <v>96</v>
      </c>
      <c r="AB82" s="18" t="s">
        <v>97</v>
      </c>
      <c r="AC82" s="18" t="s">
        <v>98</v>
      </c>
      <c r="AD82" s="18" t="s">
        <v>99</v>
      </c>
      <c r="AE82" s="19" t="s">
        <v>100</v>
      </c>
      <c r="AF82" s="18" t="s">
        <v>101</v>
      </c>
      <c r="AG82" s="18" t="s">
        <v>102</v>
      </c>
      <c r="AH82" s="18" t="s">
        <v>103</v>
      </c>
      <c r="AI82" s="19" t="s">
        <v>104</v>
      </c>
      <c r="AJ82" s="18" t="s">
        <v>105</v>
      </c>
      <c r="AK82" s="18" t="s">
        <v>106</v>
      </c>
      <c r="AL82" s="18" t="s">
        <v>107</v>
      </c>
      <c r="AM82" s="19" t="s">
        <v>32</v>
      </c>
      <c r="AN82" s="18" t="s">
        <v>33</v>
      </c>
      <c r="AO82" s="18" t="s">
        <v>34</v>
      </c>
      <c r="AP82" s="18" t="s">
        <v>108</v>
      </c>
      <c r="AQ82" s="19" t="s">
        <v>109</v>
      </c>
      <c r="AR82" s="18" t="s">
        <v>110</v>
      </c>
      <c r="AS82" s="18" t="s">
        <v>111</v>
      </c>
      <c r="AT82" s="18" t="s">
        <v>121</v>
      </c>
      <c r="AU82" s="19" t="s">
        <v>112</v>
      </c>
      <c r="BB82" s="18" t="s">
        <v>111</v>
      </c>
      <c r="BC82" s="18" t="s">
        <v>121</v>
      </c>
      <c r="BD82" s="19" t="s">
        <v>112</v>
      </c>
      <c r="BE82" s="22"/>
    </row>
    <row r="83" spans="1:57" s="2" customFormat="1" ht="18" customHeight="1" x14ac:dyDescent="0.3">
      <c r="A83" s="25" t="s">
        <v>41</v>
      </c>
      <c r="B83" s="2" t="s">
        <v>42</v>
      </c>
      <c r="C83" s="31">
        <v>5357</v>
      </c>
      <c r="D83" s="31">
        <v>5603</v>
      </c>
      <c r="E83" s="31">
        <v>4968</v>
      </c>
      <c r="F83" s="27">
        <v>5739</v>
      </c>
      <c r="G83" s="64">
        <v>6505</v>
      </c>
      <c r="H83" s="36">
        <v>7022</v>
      </c>
      <c r="I83" s="36">
        <v>8406</v>
      </c>
      <c r="J83" s="28">
        <v>9434</v>
      </c>
      <c r="K83" s="36"/>
      <c r="L83" s="27"/>
      <c r="M83" s="27"/>
      <c r="N83" s="25" t="s">
        <v>41</v>
      </c>
      <c r="O83" s="2" t="s">
        <v>42</v>
      </c>
      <c r="P83" s="74">
        <v>1254</v>
      </c>
      <c r="Q83" s="74">
        <v>1343</v>
      </c>
      <c r="R83" s="74">
        <v>1375</v>
      </c>
      <c r="S83" s="31">
        <v>1384.5</v>
      </c>
      <c r="T83" s="31">
        <v>1266</v>
      </c>
      <c r="U83" s="31">
        <v>1400</v>
      </c>
      <c r="V83" s="31">
        <v>1458</v>
      </c>
      <c r="W83" s="31">
        <v>1479</v>
      </c>
      <c r="X83" s="31">
        <v>1225</v>
      </c>
      <c r="Y83" s="31">
        <v>1048</v>
      </c>
      <c r="Z83" s="31">
        <v>1337</v>
      </c>
      <c r="AA83" s="31">
        <v>1358</v>
      </c>
      <c r="AB83" s="31">
        <v>1260</v>
      </c>
      <c r="AC83" s="31">
        <v>1438</v>
      </c>
      <c r="AD83" s="31">
        <v>1495</v>
      </c>
      <c r="AE83" s="31">
        <v>1546</v>
      </c>
      <c r="AF83" s="31">
        <v>1451</v>
      </c>
      <c r="AG83" s="31">
        <v>1639</v>
      </c>
      <c r="AH83" s="31">
        <v>1726</v>
      </c>
      <c r="AI83" s="31">
        <v>1689</v>
      </c>
      <c r="AJ83" s="31">
        <v>1590</v>
      </c>
      <c r="AK83" s="31">
        <v>1775</v>
      </c>
      <c r="AL83" s="31">
        <v>1837</v>
      </c>
      <c r="AM83" s="31">
        <v>1820</v>
      </c>
      <c r="AN83" s="31">
        <v>1739</v>
      </c>
      <c r="AO83" s="31">
        <v>2080</v>
      </c>
      <c r="AP83" s="31">
        <v>2291</v>
      </c>
      <c r="AQ83" s="31">
        <v>2296</v>
      </c>
      <c r="AR83" s="31">
        <v>2109</v>
      </c>
      <c r="AS83" s="31">
        <v>2410</v>
      </c>
      <c r="AT83" s="31">
        <v>2449</v>
      </c>
      <c r="AU83" s="31">
        <v>2466</v>
      </c>
      <c r="AW83" s="2" t="s">
        <v>42</v>
      </c>
      <c r="AX83" s="33" t="s">
        <v>41</v>
      </c>
      <c r="BA83" s="2" t="s">
        <v>43</v>
      </c>
      <c r="BB83" s="36">
        <f>AS83</f>
        <v>2410</v>
      </c>
      <c r="BC83" s="36">
        <f>AT83</f>
        <v>2449</v>
      </c>
      <c r="BD83" s="36">
        <f>AU83</f>
        <v>2466</v>
      </c>
      <c r="BE83" s="22"/>
    </row>
    <row r="84" spans="1:57" s="2" customFormat="1" ht="18" customHeight="1" x14ac:dyDescent="0.3">
      <c r="A84" s="25" t="s">
        <v>41</v>
      </c>
      <c r="B84" s="2" t="s">
        <v>44</v>
      </c>
      <c r="C84" s="30">
        <v>3117.2383</v>
      </c>
      <c r="D84" s="30">
        <v>3249.74</v>
      </c>
      <c r="E84" s="30">
        <v>2831.7599999999998</v>
      </c>
      <c r="F84" s="27">
        <v>3849</v>
      </c>
      <c r="G84" s="64">
        <v>3359</v>
      </c>
      <c r="H84" s="64">
        <v>3244</v>
      </c>
      <c r="I84" s="36">
        <v>3024</v>
      </c>
      <c r="J84" s="28">
        <v>3193</v>
      </c>
      <c r="K84" s="36"/>
      <c r="L84" s="27"/>
      <c r="M84" s="27"/>
      <c r="N84" s="25" t="s">
        <v>41</v>
      </c>
      <c r="O84" s="2" t="s">
        <v>44</v>
      </c>
      <c r="P84" s="31">
        <v>825</v>
      </c>
      <c r="Q84" s="31">
        <v>894</v>
      </c>
      <c r="R84" s="31">
        <v>905</v>
      </c>
      <c r="S84" s="31">
        <v>810</v>
      </c>
      <c r="T84" s="36">
        <v>860</v>
      </c>
      <c r="U84" s="36">
        <v>947</v>
      </c>
      <c r="V84" s="36">
        <v>983</v>
      </c>
      <c r="W84" s="36">
        <v>1000</v>
      </c>
      <c r="X84" s="36">
        <v>826</v>
      </c>
      <c r="Y84" s="36">
        <v>709</v>
      </c>
      <c r="Z84" s="36">
        <v>919</v>
      </c>
      <c r="AA84" s="36">
        <v>904</v>
      </c>
      <c r="AB84" s="36">
        <v>859</v>
      </c>
      <c r="AC84" s="36">
        <v>971</v>
      </c>
      <c r="AD84" s="36">
        <v>1005</v>
      </c>
      <c r="AE84" s="36">
        <v>1014</v>
      </c>
      <c r="AF84" s="36">
        <v>957</v>
      </c>
      <c r="AG84" s="36">
        <v>1055</v>
      </c>
      <c r="AH84" s="36">
        <v>698</v>
      </c>
      <c r="AI84" s="36">
        <v>649</v>
      </c>
      <c r="AJ84" s="36">
        <v>646</v>
      </c>
      <c r="AK84" s="36">
        <v>1163</v>
      </c>
      <c r="AL84" s="36">
        <v>762</v>
      </c>
      <c r="AM84" s="36">
        <v>673</v>
      </c>
      <c r="AN84" s="36">
        <v>696</v>
      </c>
      <c r="AO84" s="36">
        <v>786</v>
      </c>
      <c r="AP84" s="36">
        <v>798</v>
      </c>
      <c r="AQ84" s="36">
        <v>744</v>
      </c>
      <c r="AR84" s="36">
        <v>704</v>
      </c>
      <c r="AS84" s="36">
        <v>815</v>
      </c>
      <c r="AT84" s="36">
        <v>843</v>
      </c>
      <c r="AU84" s="36">
        <v>831</v>
      </c>
      <c r="AW84" s="2" t="s">
        <v>44</v>
      </c>
      <c r="AX84" s="33" t="s">
        <v>41</v>
      </c>
      <c r="BA84" s="2" t="s">
        <v>125</v>
      </c>
      <c r="BB84" s="35">
        <f>AS101</f>
        <v>1083</v>
      </c>
      <c r="BC84" s="35">
        <f>AT101</f>
        <v>1125</v>
      </c>
      <c r="BD84" s="35">
        <f>AU101</f>
        <v>1136</v>
      </c>
      <c r="BE84" s="22"/>
    </row>
    <row r="85" spans="1:57" s="2" customFormat="1" ht="18" customHeight="1" x14ac:dyDescent="0.3">
      <c r="A85" s="25" t="s">
        <v>41</v>
      </c>
      <c r="B85" s="2" t="s">
        <v>46</v>
      </c>
      <c r="C85" s="31">
        <v>1937</v>
      </c>
      <c r="D85" s="31">
        <v>2027</v>
      </c>
      <c r="E85" s="31">
        <v>1582</v>
      </c>
      <c r="F85" s="27">
        <v>1868</v>
      </c>
      <c r="G85" s="64">
        <v>1898</v>
      </c>
      <c r="H85" s="36">
        <v>2132</v>
      </c>
      <c r="I85" s="28">
        <v>2392</v>
      </c>
      <c r="J85" s="28">
        <v>2224</v>
      </c>
      <c r="K85" s="36"/>
      <c r="L85" s="27"/>
      <c r="M85" s="27"/>
      <c r="N85" s="25" t="s">
        <v>41</v>
      </c>
      <c r="O85" s="2" t="s">
        <v>46</v>
      </c>
      <c r="P85" s="31">
        <v>421</v>
      </c>
      <c r="Q85" s="31">
        <v>502</v>
      </c>
      <c r="R85" s="31">
        <v>478</v>
      </c>
      <c r="S85" s="31">
        <v>516.5</v>
      </c>
      <c r="T85" s="31">
        <v>434</v>
      </c>
      <c r="U85" s="31">
        <v>491</v>
      </c>
      <c r="V85" s="31">
        <v>567</v>
      </c>
      <c r="W85" s="31">
        <v>492</v>
      </c>
      <c r="X85" s="31">
        <v>389</v>
      </c>
      <c r="Y85" s="31">
        <v>243</v>
      </c>
      <c r="Z85" s="31">
        <v>417</v>
      </c>
      <c r="AA85" s="31">
        <v>275</v>
      </c>
      <c r="AB85" s="31">
        <v>442</v>
      </c>
      <c r="AC85" s="31">
        <v>488</v>
      </c>
      <c r="AD85" s="31">
        <v>522</v>
      </c>
      <c r="AE85" s="31">
        <v>416</v>
      </c>
      <c r="AF85" s="31">
        <v>450</v>
      </c>
      <c r="AG85" s="31">
        <v>541</v>
      </c>
      <c r="AH85" s="31">
        <v>569</v>
      </c>
      <c r="AI85" s="31">
        <v>338</v>
      </c>
      <c r="AJ85" s="31">
        <v>485</v>
      </c>
      <c r="AK85" s="31">
        <v>554</v>
      </c>
      <c r="AL85" s="31">
        <v>601</v>
      </c>
      <c r="AM85" s="31">
        <v>492</v>
      </c>
      <c r="AN85" s="31">
        <v>526</v>
      </c>
      <c r="AO85" s="31">
        <v>612</v>
      </c>
      <c r="AP85" s="31">
        <v>628</v>
      </c>
      <c r="AQ85" s="31">
        <v>626</v>
      </c>
      <c r="AR85" s="31">
        <v>430</v>
      </c>
      <c r="AS85" s="31">
        <v>478</v>
      </c>
      <c r="AT85" s="31">
        <v>679</v>
      </c>
      <c r="AU85" s="31">
        <v>637</v>
      </c>
      <c r="AW85" s="2" t="s">
        <v>46</v>
      </c>
      <c r="AX85" s="33" t="s">
        <v>41</v>
      </c>
      <c r="BA85" s="2" t="s">
        <v>126</v>
      </c>
      <c r="BB85" s="35">
        <f t="shared" ref="BB85:BD87" si="42">AS102</f>
        <v>388</v>
      </c>
      <c r="BC85" s="35">
        <f t="shared" si="42"/>
        <v>387</v>
      </c>
      <c r="BD85" s="35">
        <f t="shared" si="42"/>
        <v>383</v>
      </c>
      <c r="BE85" s="22"/>
    </row>
    <row r="86" spans="1:57" s="2" customFormat="1" ht="18" customHeight="1" x14ac:dyDescent="0.3">
      <c r="A86" s="25" t="s">
        <v>41</v>
      </c>
      <c r="B86" s="2" t="s">
        <v>48</v>
      </c>
      <c r="C86" s="31">
        <v>612</v>
      </c>
      <c r="D86" s="31">
        <v>643</v>
      </c>
      <c r="E86" s="31">
        <v>486</v>
      </c>
      <c r="F86" s="27">
        <v>838</v>
      </c>
      <c r="G86" s="64">
        <v>1008</v>
      </c>
      <c r="H86" s="36">
        <v>1190</v>
      </c>
      <c r="I86" s="28">
        <v>1021</v>
      </c>
      <c r="J86" s="28">
        <v>776</v>
      </c>
      <c r="K86" s="36"/>
      <c r="L86" s="27"/>
      <c r="M86" s="27"/>
      <c r="N86" s="25" t="s">
        <v>41</v>
      </c>
      <c r="O86" s="2" t="s">
        <v>48</v>
      </c>
      <c r="P86" s="31">
        <v>148</v>
      </c>
      <c r="Q86" s="31">
        <v>167</v>
      </c>
      <c r="R86" s="31">
        <v>134</v>
      </c>
      <c r="S86" s="31">
        <v>163</v>
      </c>
      <c r="T86" s="31">
        <v>135</v>
      </c>
      <c r="U86" s="31">
        <v>142</v>
      </c>
      <c r="V86" s="31">
        <v>201</v>
      </c>
      <c r="W86" s="31">
        <v>165</v>
      </c>
      <c r="X86" s="31">
        <v>144</v>
      </c>
      <c r="Y86" s="31">
        <v>106</v>
      </c>
      <c r="Z86" s="31">
        <v>145</v>
      </c>
      <c r="AA86" s="31">
        <v>91</v>
      </c>
      <c r="AB86" s="31">
        <v>179</v>
      </c>
      <c r="AC86" s="31">
        <v>259</v>
      </c>
      <c r="AD86" s="31">
        <v>221</v>
      </c>
      <c r="AE86" s="31">
        <v>179</v>
      </c>
      <c r="AF86" s="31">
        <v>183</v>
      </c>
      <c r="AG86" s="31">
        <v>236</v>
      </c>
      <c r="AH86" s="31">
        <v>360</v>
      </c>
      <c r="AI86" s="31">
        <v>229</v>
      </c>
      <c r="AJ86" s="31">
        <v>189</v>
      </c>
      <c r="AK86" s="31">
        <v>241</v>
      </c>
      <c r="AL86" s="31">
        <v>252</v>
      </c>
      <c r="AM86" s="31">
        <v>508</v>
      </c>
      <c r="AN86" s="31">
        <v>230</v>
      </c>
      <c r="AO86" s="31">
        <v>280</v>
      </c>
      <c r="AP86" s="31">
        <v>252</v>
      </c>
      <c r="AQ86" s="31">
        <v>259</v>
      </c>
      <c r="AR86" s="31">
        <v>159</v>
      </c>
      <c r="AS86" s="31">
        <v>189</v>
      </c>
      <c r="AT86" s="31">
        <v>315</v>
      </c>
      <c r="AU86" s="31">
        <v>113</v>
      </c>
      <c r="AW86" s="2" t="s">
        <v>48</v>
      </c>
      <c r="AX86" s="33" t="s">
        <v>41</v>
      </c>
      <c r="BA86" s="2" t="s">
        <v>127</v>
      </c>
      <c r="BB86" s="35">
        <f t="shared" si="42"/>
        <v>210</v>
      </c>
      <c r="BC86" s="35">
        <f t="shared" si="42"/>
        <v>201</v>
      </c>
      <c r="BD86" s="35">
        <f t="shared" si="42"/>
        <v>195</v>
      </c>
      <c r="BE86" s="22"/>
    </row>
    <row r="87" spans="1:57" s="2" customFormat="1" ht="18" customHeight="1" x14ac:dyDescent="0.3">
      <c r="A87" s="25" t="s">
        <v>41</v>
      </c>
      <c r="B87" s="39" t="s">
        <v>50</v>
      </c>
      <c r="C87" s="51">
        <v>1165</v>
      </c>
      <c r="D87" s="51">
        <v>1476</v>
      </c>
      <c r="E87" s="51">
        <v>921</v>
      </c>
      <c r="F87" s="27">
        <v>1354</v>
      </c>
      <c r="G87" s="27">
        <v>1490</v>
      </c>
      <c r="H87" s="40">
        <v>1323</v>
      </c>
      <c r="I87" s="35">
        <v>1503</v>
      </c>
      <c r="J87" s="40">
        <v>1567</v>
      </c>
      <c r="K87" s="40"/>
      <c r="L87" s="40"/>
      <c r="M87" s="40"/>
      <c r="N87" s="25" t="s">
        <v>51</v>
      </c>
      <c r="O87" s="2" t="s">
        <v>52</v>
      </c>
      <c r="P87" s="41">
        <f t="shared" ref="P87:R87" si="43">P86/P83</f>
        <v>0.11802232854864433</v>
      </c>
      <c r="Q87" s="41">
        <f t="shared" si="43"/>
        <v>0.12434847356664185</v>
      </c>
      <c r="R87" s="41">
        <f t="shared" si="43"/>
        <v>9.745454545454546E-2</v>
      </c>
      <c r="S87" s="41">
        <f>S86/S83</f>
        <v>0.11773203322499097</v>
      </c>
      <c r="T87" s="41">
        <f>T86/T83</f>
        <v>0.1066350710900474</v>
      </c>
      <c r="U87" s="41">
        <f>U86/U83</f>
        <v>0.10142857142857142</v>
      </c>
      <c r="V87" s="41">
        <f>V86/V83</f>
        <v>0.13786008230452676</v>
      </c>
      <c r="W87" s="41">
        <f>W86/W83</f>
        <v>0.11156186612576065</v>
      </c>
      <c r="X87" s="41">
        <f t="shared" ref="X87:AU87" si="44">X86/X83</f>
        <v>0.11755102040816326</v>
      </c>
      <c r="Y87" s="41">
        <f t="shared" si="44"/>
        <v>0.10114503816793893</v>
      </c>
      <c r="Z87" s="41">
        <f t="shared" si="44"/>
        <v>0.10845175766641735</v>
      </c>
      <c r="AA87" s="41">
        <f t="shared" si="44"/>
        <v>6.7010309278350513E-2</v>
      </c>
      <c r="AB87" s="41">
        <f t="shared" si="44"/>
        <v>0.14206349206349206</v>
      </c>
      <c r="AC87" s="41">
        <f t="shared" si="44"/>
        <v>0.18011126564673158</v>
      </c>
      <c r="AD87" s="41">
        <f t="shared" si="44"/>
        <v>0.14782608695652175</v>
      </c>
      <c r="AE87" s="41">
        <f t="shared" si="44"/>
        <v>0.11578266494178525</v>
      </c>
      <c r="AF87" s="41">
        <f t="shared" si="44"/>
        <v>0.12611991729841487</v>
      </c>
      <c r="AG87" s="41">
        <f t="shared" si="44"/>
        <v>0.14399023794996949</v>
      </c>
      <c r="AH87" s="41">
        <f t="shared" si="44"/>
        <v>0.20857473928157591</v>
      </c>
      <c r="AI87" s="41">
        <f t="shared" si="44"/>
        <v>0.13558318531675548</v>
      </c>
      <c r="AJ87" s="41">
        <f t="shared" si="44"/>
        <v>0.11886792452830189</v>
      </c>
      <c r="AK87" s="41">
        <f t="shared" si="44"/>
        <v>0.13577464788732393</v>
      </c>
      <c r="AL87" s="41">
        <f t="shared" si="44"/>
        <v>0.13718018508437671</v>
      </c>
      <c r="AM87" s="41">
        <f t="shared" si="44"/>
        <v>0.27912087912087913</v>
      </c>
      <c r="AN87" s="41">
        <f t="shared" si="44"/>
        <v>0.13225991949396204</v>
      </c>
      <c r="AO87" s="41">
        <f t="shared" si="44"/>
        <v>0.13461538461538461</v>
      </c>
      <c r="AP87" s="41">
        <f t="shared" si="44"/>
        <v>0.10999563509384548</v>
      </c>
      <c r="AQ87" s="41">
        <f t="shared" si="44"/>
        <v>0.11280487804878049</v>
      </c>
      <c r="AR87" s="41">
        <f t="shared" si="44"/>
        <v>7.5391180654338544E-2</v>
      </c>
      <c r="AS87" s="41">
        <f t="shared" si="44"/>
        <v>7.8423236514522821E-2</v>
      </c>
      <c r="AT87" s="41">
        <f t="shared" si="44"/>
        <v>0.12862392813393222</v>
      </c>
      <c r="AU87" s="41">
        <f t="shared" si="44"/>
        <v>4.5823195458231956E-2</v>
      </c>
      <c r="AW87" s="2" t="s">
        <v>52</v>
      </c>
      <c r="AX87" s="33" t="s">
        <v>51</v>
      </c>
      <c r="BA87" s="2" t="s">
        <v>128</v>
      </c>
      <c r="BB87" s="35">
        <f t="shared" si="42"/>
        <v>59</v>
      </c>
      <c r="BC87" s="35">
        <f t="shared" si="42"/>
        <v>60</v>
      </c>
      <c r="BD87" s="35">
        <f t="shared" si="42"/>
        <v>59</v>
      </c>
      <c r="BE87" s="22"/>
    </row>
    <row r="88" spans="1:57" s="2" customFormat="1" ht="18" customHeight="1" x14ac:dyDescent="0.3">
      <c r="A88" s="25" t="s">
        <v>41</v>
      </c>
      <c r="B88" s="39" t="s">
        <v>54</v>
      </c>
      <c r="C88" s="51">
        <v>1079</v>
      </c>
      <c r="D88" s="51">
        <v>1414</v>
      </c>
      <c r="E88" s="51">
        <v>804</v>
      </c>
      <c r="F88" s="27">
        <v>1271</v>
      </c>
      <c r="G88" s="27">
        <v>1390</v>
      </c>
      <c r="H88" s="40">
        <v>1203</v>
      </c>
      <c r="I88" s="35">
        <v>1302</v>
      </c>
      <c r="J88" s="40">
        <v>1302</v>
      </c>
      <c r="K88" s="40"/>
      <c r="L88" s="40"/>
      <c r="M88" s="40"/>
      <c r="N88" s="25" t="s">
        <v>51</v>
      </c>
      <c r="O88" s="2" t="s">
        <v>55</v>
      </c>
      <c r="P88" s="41">
        <f t="shared" ref="P88:R88" si="45">P84/P83</f>
        <v>0.65789473684210531</v>
      </c>
      <c r="Q88" s="41">
        <f t="shared" si="45"/>
        <v>0.66567386448250188</v>
      </c>
      <c r="R88" s="41">
        <f t="shared" si="45"/>
        <v>0.6581818181818182</v>
      </c>
      <c r="S88" s="41">
        <f>S84/S83</f>
        <v>0.58504875406283852</v>
      </c>
      <c r="T88" s="41">
        <f>T84/T83</f>
        <v>0.67930489731437593</v>
      </c>
      <c r="U88" s="41">
        <f>U84/U83</f>
        <v>0.67642857142857138</v>
      </c>
      <c r="V88" s="41">
        <f>V84/V83</f>
        <v>0.67421124828532231</v>
      </c>
      <c r="W88" s="41">
        <f>W84/W83</f>
        <v>0.67613252197430695</v>
      </c>
      <c r="X88" s="41">
        <f t="shared" ref="X88:AU88" si="46">X84/X83</f>
        <v>0.67428571428571427</v>
      </c>
      <c r="Y88" s="41">
        <f t="shared" si="46"/>
        <v>0.67652671755725191</v>
      </c>
      <c r="Z88" s="41">
        <f t="shared" si="46"/>
        <v>0.68735976065818993</v>
      </c>
      <c r="AA88" s="41">
        <f t="shared" si="46"/>
        <v>0.66568483063328421</v>
      </c>
      <c r="AB88" s="41">
        <f t="shared" si="46"/>
        <v>0.68174603174603177</v>
      </c>
      <c r="AC88" s="41">
        <f t="shared" si="46"/>
        <v>0.67524339360222529</v>
      </c>
      <c r="AD88" s="41">
        <f t="shared" si="46"/>
        <v>0.67224080267558528</v>
      </c>
      <c r="AE88" s="41">
        <f t="shared" si="46"/>
        <v>0.65588615782664939</v>
      </c>
      <c r="AF88" s="41">
        <f t="shared" si="46"/>
        <v>0.65954514128187458</v>
      </c>
      <c r="AG88" s="41">
        <f t="shared" si="46"/>
        <v>0.64368517388651614</v>
      </c>
      <c r="AH88" s="41">
        <f t="shared" si="46"/>
        <v>0.40440324449594439</v>
      </c>
      <c r="AI88" s="41">
        <f t="shared" si="46"/>
        <v>0.384251036116045</v>
      </c>
      <c r="AJ88" s="41">
        <f t="shared" si="46"/>
        <v>0.40628930817610065</v>
      </c>
      <c r="AK88" s="41">
        <f t="shared" si="46"/>
        <v>0.65521126760563375</v>
      </c>
      <c r="AL88" s="41">
        <f t="shared" si="46"/>
        <v>0.41480675013609147</v>
      </c>
      <c r="AM88" s="41">
        <f t="shared" si="46"/>
        <v>0.3697802197802198</v>
      </c>
      <c r="AN88" s="41">
        <f t="shared" si="46"/>
        <v>0.40023001725129387</v>
      </c>
      <c r="AO88" s="41">
        <f t="shared" si="46"/>
        <v>0.37788461538461537</v>
      </c>
      <c r="AP88" s="41">
        <f t="shared" si="46"/>
        <v>0.34831951113051068</v>
      </c>
      <c r="AQ88" s="41">
        <f t="shared" si="46"/>
        <v>0.3240418118466899</v>
      </c>
      <c r="AR88" s="41">
        <f t="shared" si="46"/>
        <v>0.33380749170222856</v>
      </c>
      <c r="AS88" s="41">
        <f t="shared" si="46"/>
        <v>0.33817427385892118</v>
      </c>
      <c r="AT88" s="41">
        <f t="shared" si="46"/>
        <v>0.34422213148223763</v>
      </c>
      <c r="AU88" s="41">
        <f t="shared" si="46"/>
        <v>0.33698296836982966</v>
      </c>
      <c r="AW88" s="2" t="s">
        <v>55</v>
      </c>
      <c r="AX88" s="33" t="s">
        <v>51</v>
      </c>
      <c r="BA88" s="2" t="s">
        <v>56</v>
      </c>
      <c r="BB88" s="35">
        <f>AS105</f>
        <v>670</v>
      </c>
      <c r="BC88" s="35">
        <f>AT105</f>
        <v>676</v>
      </c>
      <c r="BD88" s="35">
        <f>AU105</f>
        <v>693</v>
      </c>
      <c r="BE88" s="22"/>
    </row>
    <row r="89" spans="1:57" s="2" customFormat="1" ht="18" customHeight="1" x14ac:dyDescent="0.3">
      <c r="A89" s="25" t="s">
        <v>51</v>
      </c>
      <c r="B89" s="2" t="s">
        <v>57</v>
      </c>
      <c r="C89" s="65">
        <v>17.059999999999999</v>
      </c>
      <c r="D89" s="65">
        <v>4.59</v>
      </c>
      <c r="E89" s="67">
        <v>-11.333214349455648</v>
      </c>
      <c r="F89" s="45">
        <v>15.519323671497585</v>
      </c>
      <c r="G89" s="45">
        <v>13.347273044084334</v>
      </c>
      <c r="H89" s="66">
        <v>7.947732513451192</v>
      </c>
      <c r="I89" s="45">
        <v>19.709484477356877</v>
      </c>
      <c r="J89" s="46">
        <v>12.229359980965977</v>
      </c>
      <c r="K89" s="45"/>
      <c r="L89" s="45"/>
      <c r="M89" s="45"/>
      <c r="N89" s="50"/>
      <c r="O89" s="25"/>
      <c r="P89" s="41"/>
      <c r="Q89" s="41"/>
      <c r="R89" s="41"/>
      <c r="S89" s="41"/>
      <c r="T89" s="41"/>
      <c r="BA89" s="2" t="s">
        <v>129</v>
      </c>
      <c r="BB89" s="35">
        <f>AS110</f>
        <v>1083</v>
      </c>
      <c r="BC89" s="35">
        <f>AT110</f>
        <v>1028</v>
      </c>
      <c r="BD89" s="35">
        <f>AU110</f>
        <v>832</v>
      </c>
      <c r="BE89" s="22"/>
    </row>
    <row r="90" spans="1:57" s="2" customFormat="1" ht="18" customHeight="1" x14ac:dyDescent="0.3">
      <c r="A90" s="25" t="s">
        <v>51</v>
      </c>
      <c r="B90" s="2" t="s">
        <v>59</v>
      </c>
      <c r="C90" s="65">
        <v>2.74</v>
      </c>
      <c r="D90" s="65">
        <v>4.1100000000000003</v>
      </c>
      <c r="E90" s="67">
        <v>-21.95362604834731</v>
      </c>
      <c r="F90" s="45">
        <v>18.078381795195956</v>
      </c>
      <c r="G90" s="45">
        <v>1.6059957173447537</v>
      </c>
      <c r="H90" s="66">
        <v>12.328767123287671</v>
      </c>
      <c r="I90" s="45">
        <v>12.195121951219512</v>
      </c>
      <c r="J90" s="46">
        <v>-7.023411371237458</v>
      </c>
      <c r="K90" s="45"/>
      <c r="L90" s="45"/>
      <c r="M90" s="45"/>
      <c r="N90" s="50"/>
      <c r="O90" s="25"/>
      <c r="P90" s="41"/>
      <c r="Q90" s="41"/>
      <c r="R90" s="41"/>
      <c r="S90" s="41"/>
      <c r="T90" s="41"/>
      <c r="AG90" s="36"/>
      <c r="BA90" s="2" t="s">
        <v>116</v>
      </c>
      <c r="BB90" s="35">
        <f t="shared" ref="BB90:BD91" si="47">AS111</f>
        <v>1126</v>
      </c>
      <c r="BC90" s="35">
        <f t="shared" si="47"/>
        <v>1148</v>
      </c>
      <c r="BD90" s="35">
        <f t="shared" si="47"/>
        <v>1247</v>
      </c>
      <c r="BE90" s="22"/>
    </row>
    <row r="91" spans="1:57" s="2" customFormat="1" ht="18" customHeight="1" x14ac:dyDescent="0.3">
      <c r="A91" s="25" t="s">
        <v>51</v>
      </c>
      <c r="B91" s="2" t="s">
        <v>61</v>
      </c>
      <c r="C91" s="65">
        <v>-7.37</v>
      </c>
      <c r="D91" s="65">
        <v>-2.97</v>
      </c>
      <c r="E91" s="67">
        <v>-24.416796267496114</v>
      </c>
      <c r="F91" s="45">
        <v>72.427983539094654</v>
      </c>
      <c r="G91" s="45">
        <v>20.286396181384248</v>
      </c>
      <c r="H91" s="66">
        <v>18.055555555555554</v>
      </c>
      <c r="I91" s="45">
        <v>-14.201680672268907</v>
      </c>
      <c r="J91" s="46">
        <v>-23.996082272282077</v>
      </c>
      <c r="K91" s="45"/>
      <c r="L91" s="45"/>
      <c r="M91" s="45"/>
      <c r="N91" s="50"/>
      <c r="O91" s="25"/>
      <c r="P91" s="41"/>
      <c r="Q91" s="41"/>
      <c r="R91" s="41"/>
      <c r="S91" s="41"/>
      <c r="T91" s="41"/>
      <c r="BA91" s="2" t="s">
        <v>130</v>
      </c>
      <c r="BB91" s="35">
        <f t="shared" si="47"/>
        <v>201</v>
      </c>
      <c r="BC91" s="35">
        <f t="shared" si="47"/>
        <v>273</v>
      </c>
      <c r="BD91" s="35">
        <f t="shared" si="47"/>
        <v>387</v>
      </c>
      <c r="BE91" s="22"/>
    </row>
    <row r="92" spans="1:57" s="2" customFormat="1" ht="18" customHeight="1" x14ac:dyDescent="0.3">
      <c r="A92" s="25" t="s">
        <v>63</v>
      </c>
      <c r="B92" s="2" t="s">
        <v>64</v>
      </c>
      <c r="C92" s="50">
        <v>11.424304648123949</v>
      </c>
      <c r="D92" s="50">
        <v>11.475995002677138</v>
      </c>
      <c r="E92" s="50">
        <v>9.7826086956521738</v>
      </c>
      <c r="F92" s="45">
        <v>14.601847011674508</v>
      </c>
      <c r="G92" s="45">
        <v>15.495772482705611</v>
      </c>
      <c r="H92" s="23">
        <v>16.946738820848761</v>
      </c>
      <c r="I92" s="45">
        <v>12.146086128955508</v>
      </c>
      <c r="J92" s="46">
        <v>8.2255670977316093</v>
      </c>
      <c r="K92" s="45"/>
      <c r="L92" s="45"/>
      <c r="M92" s="45"/>
      <c r="N92" s="50"/>
      <c r="T92" s="36"/>
      <c r="BA92" s="2" t="s">
        <v>131</v>
      </c>
      <c r="BB92" s="35">
        <f>AS117</f>
        <v>1332</v>
      </c>
      <c r="BC92" s="35">
        <f>AT117</f>
        <v>1357</v>
      </c>
      <c r="BD92" s="35">
        <f>AU117</f>
        <v>1399</v>
      </c>
      <c r="BE92" s="22"/>
    </row>
    <row r="93" spans="1:57" s="2" customFormat="1" ht="18" customHeight="1" x14ac:dyDescent="0.3">
      <c r="A93" s="25" t="s">
        <v>63</v>
      </c>
      <c r="B93" s="2" t="s">
        <v>66</v>
      </c>
      <c r="C93" s="65">
        <v>58.19</v>
      </c>
      <c r="D93" s="65">
        <v>58</v>
      </c>
      <c r="E93" s="65">
        <v>57</v>
      </c>
      <c r="F93" s="45">
        <v>41.8</v>
      </c>
      <c r="G93" s="45">
        <v>51.637202152190618</v>
      </c>
      <c r="H93" s="66">
        <v>46.197664483053266</v>
      </c>
      <c r="I93" s="45">
        <v>35.974304068522486</v>
      </c>
      <c r="J93" s="46">
        <v>33.845664617341534</v>
      </c>
      <c r="K93" s="45"/>
      <c r="L93" s="45"/>
      <c r="M93" s="45"/>
      <c r="N93" s="50"/>
      <c r="BA93" s="2" t="s">
        <v>132</v>
      </c>
      <c r="BB93" s="35">
        <f t="shared" ref="BB93:BD94" si="48">AS118</f>
        <v>760</v>
      </c>
      <c r="BC93" s="35">
        <f t="shared" si="48"/>
        <v>778</v>
      </c>
      <c r="BD93" s="35">
        <f t="shared" si="48"/>
        <v>759</v>
      </c>
      <c r="BE93" s="22"/>
    </row>
    <row r="94" spans="1:57" s="2" customFormat="1" ht="18" customHeight="1" x14ac:dyDescent="0.3">
      <c r="A94" s="25" t="s">
        <v>67</v>
      </c>
      <c r="B94" s="2" t="s">
        <v>68</v>
      </c>
      <c r="C94" s="65">
        <v>11.8</v>
      </c>
      <c r="D94" s="65">
        <v>11.45</v>
      </c>
      <c r="E94" s="65">
        <v>9.35</v>
      </c>
      <c r="F94" s="45">
        <v>9.33</v>
      </c>
      <c r="G94" s="45">
        <v>11.15</v>
      </c>
      <c r="H94" s="65">
        <v>10.1</v>
      </c>
      <c r="I94" s="45">
        <v>11.62</v>
      </c>
      <c r="J94" s="46">
        <v>12.65</v>
      </c>
      <c r="L94" s="4"/>
      <c r="M94" s="4"/>
      <c r="N94" s="4"/>
      <c r="O94" s="25"/>
      <c r="P94" s="41"/>
      <c r="Q94" s="41"/>
      <c r="R94" s="41"/>
      <c r="S94" s="41"/>
      <c r="T94" s="41"/>
      <c r="BA94" s="2" t="s">
        <v>133</v>
      </c>
      <c r="BB94" s="35">
        <f>AS119</f>
        <v>318</v>
      </c>
      <c r="BC94" s="35">
        <f t="shared" si="48"/>
        <v>314</v>
      </c>
      <c r="BD94" s="35">
        <f t="shared" si="48"/>
        <v>308</v>
      </c>
      <c r="BE94" s="22"/>
    </row>
    <row r="95" spans="1:57" s="2" customFormat="1" ht="18" customHeight="1" x14ac:dyDescent="0.3">
      <c r="A95" s="25" t="s">
        <v>67</v>
      </c>
      <c r="B95" s="2" t="s">
        <v>69</v>
      </c>
      <c r="C95" s="67">
        <v>0.26</v>
      </c>
      <c r="D95" s="67">
        <v>0.26</v>
      </c>
      <c r="E95" s="75">
        <v>0.22</v>
      </c>
      <c r="F95" s="45">
        <v>0.22</v>
      </c>
      <c r="G95" s="45">
        <v>0.28000000000000003</v>
      </c>
      <c r="H95" s="65">
        <v>0.3</v>
      </c>
      <c r="I95" s="45">
        <v>0.35</v>
      </c>
      <c r="J95" s="46">
        <v>0.38</v>
      </c>
      <c r="L95" s="76"/>
      <c r="M95" s="76"/>
      <c r="N95" s="76"/>
      <c r="O95" s="25"/>
      <c r="P95" s="41"/>
      <c r="Q95" s="41"/>
      <c r="R95" s="41"/>
      <c r="S95" s="41"/>
      <c r="T95" s="41"/>
      <c r="BE95" s="22"/>
    </row>
    <row r="96" spans="1:57" s="2" customFormat="1" ht="18" customHeight="1" x14ac:dyDescent="0.3">
      <c r="A96" s="25" t="s">
        <v>70</v>
      </c>
      <c r="B96" s="2" t="s">
        <v>71</v>
      </c>
      <c r="C96" s="67">
        <v>3.4</v>
      </c>
      <c r="D96" s="67">
        <v>3.11</v>
      </c>
      <c r="E96" s="67">
        <v>6.37</v>
      </c>
      <c r="F96" s="45">
        <v>6.4</v>
      </c>
      <c r="G96" s="45">
        <v>5.1376999999999997</v>
      </c>
      <c r="H96" s="65">
        <v>4.4850000000000003</v>
      </c>
      <c r="I96" s="45">
        <v>2.7782</v>
      </c>
      <c r="J96" s="46">
        <v>2.5682999999999998</v>
      </c>
      <c r="O96" s="25"/>
      <c r="P96" s="41"/>
      <c r="Q96" s="41"/>
      <c r="R96" s="41"/>
      <c r="S96" s="41"/>
      <c r="T96" s="41"/>
      <c r="BE96" s="22"/>
    </row>
    <row r="97" spans="1:71" s="2" customFormat="1" ht="18" customHeight="1" x14ac:dyDescent="0.3">
      <c r="A97" s="25" t="s">
        <v>72</v>
      </c>
      <c r="B97" s="2" t="s">
        <v>73</v>
      </c>
      <c r="C97" s="67">
        <v>1.07</v>
      </c>
      <c r="D97" s="67">
        <v>1.29</v>
      </c>
      <c r="E97" s="67">
        <v>1.41</v>
      </c>
      <c r="F97" s="45">
        <v>0.96</v>
      </c>
      <c r="G97" s="45">
        <v>0.97</v>
      </c>
      <c r="H97" s="65">
        <v>1.01</v>
      </c>
      <c r="I97" s="45">
        <v>0.97</v>
      </c>
      <c r="J97" s="46">
        <v>0.98</v>
      </c>
      <c r="O97" s="25"/>
      <c r="P97" s="41"/>
      <c r="Q97" s="41"/>
      <c r="R97" s="41"/>
      <c r="S97" s="41"/>
      <c r="T97" s="41"/>
      <c r="BE97" s="22"/>
    </row>
    <row r="98" spans="1:71" s="4" customFormat="1" ht="18" customHeight="1" x14ac:dyDescent="0.3">
      <c r="A98" s="25"/>
      <c r="B98" s="2" t="s">
        <v>74</v>
      </c>
      <c r="C98" s="51">
        <v>6000</v>
      </c>
      <c r="D98" s="30">
        <v>6300</v>
      </c>
      <c r="E98" s="30">
        <v>5200</v>
      </c>
      <c r="F98" s="27">
        <v>5700</v>
      </c>
      <c r="G98" s="27">
        <v>5700</v>
      </c>
      <c r="H98" s="27">
        <v>6400</v>
      </c>
      <c r="I98" s="27">
        <v>9000</v>
      </c>
      <c r="J98" s="27">
        <v>37600</v>
      </c>
      <c r="K98" s="2"/>
      <c r="L98" s="2"/>
      <c r="M98" s="2"/>
      <c r="N98" s="2"/>
      <c r="O98" s="25"/>
      <c r="P98" s="24"/>
      <c r="Q98" s="24"/>
      <c r="R98" s="24"/>
      <c r="S98" s="24"/>
      <c r="T98" s="24"/>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39"/>
      <c r="BM98" s="39"/>
      <c r="BN98" s="39"/>
      <c r="BO98" s="39"/>
      <c r="BP98" s="39"/>
      <c r="BQ98" s="39"/>
      <c r="BR98" s="39"/>
      <c r="BS98" s="39"/>
    </row>
    <row r="99" spans="1:71" x14ac:dyDescent="0.3">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s="31"/>
      <c r="AN99"/>
      <c r="AO99"/>
      <c r="AW99" s="53"/>
    </row>
    <row r="100" spans="1:71" ht="18" customHeight="1" x14ac:dyDescent="0.3">
      <c r="A100" s="18" t="s">
        <v>75</v>
      </c>
      <c r="B100" s="77" t="s">
        <v>134</v>
      </c>
      <c r="C100" s="9">
        <v>2018</v>
      </c>
      <c r="D100" s="9">
        <v>2019</v>
      </c>
      <c r="E100" s="9">
        <v>2020</v>
      </c>
      <c r="F100" s="10">
        <v>2021</v>
      </c>
      <c r="G100" s="11">
        <v>2022</v>
      </c>
      <c r="H100" s="12">
        <v>2023</v>
      </c>
      <c r="I100" s="13">
        <v>2024</v>
      </c>
      <c r="J100" s="14">
        <v>2025</v>
      </c>
      <c r="K100"/>
      <c r="L100"/>
      <c r="M100"/>
      <c r="N100" s="18" t="s">
        <v>75</v>
      </c>
      <c r="O100" s="9" t="s">
        <v>82</v>
      </c>
      <c r="P100" s="18" t="s">
        <v>119</v>
      </c>
      <c r="Q100" s="18" t="s">
        <v>120</v>
      </c>
      <c r="R100" s="18" t="s">
        <v>11</v>
      </c>
      <c r="S100" s="19" t="s">
        <v>90</v>
      </c>
      <c r="T100" s="18" t="s">
        <v>13</v>
      </c>
      <c r="U100" s="18" t="s">
        <v>14</v>
      </c>
      <c r="V100" s="18" t="s">
        <v>91</v>
      </c>
      <c r="W100" s="19" t="s">
        <v>92</v>
      </c>
      <c r="X100" s="18" t="s">
        <v>93</v>
      </c>
      <c r="Y100" s="18" t="s">
        <v>94</v>
      </c>
      <c r="Z100" s="18" t="s">
        <v>95</v>
      </c>
      <c r="AA100" s="19" t="s">
        <v>96</v>
      </c>
      <c r="AB100" s="18" t="s">
        <v>97</v>
      </c>
      <c r="AC100" s="18" t="s">
        <v>98</v>
      </c>
      <c r="AD100" s="18" t="s">
        <v>99</v>
      </c>
      <c r="AE100" s="19" t="s">
        <v>100</v>
      </c>
      <c r="AF100" s="18" t="s">
        <v>101</v>
      </c>
      <c r="AG100" s="18" t="s">
        <v>102</v>
      </c>
      <c r="AH100" s="18" t="s">
        <v>103</v>
      </c>
      <c r="AI100" s="19" t="s">
        <v>104</v>
      </c>
      <c r="AJ100" s="18" t="s">
        <v>105</v>
      </c>
      <c r="AK100" s="18" t="s">
        <v>106</v>
      </c>
      <c r="AL100" s="18" t="s">
        <v>107</v>
      </c>
      <c r="AM100" s="19" t="s">
        <v>32</v>
      </c>
      <c r="AN100" s="18" t="s">
        <v>33</v>
      </c>
      <c r="AO100" s="18" t="s">
        <v>34</v>
      </c>
      <c r="AP100" s="18" t="s">
        <v>108</v>
      </c>
      <c r="AQ100" s="19" t="s">
        <v>109</v>
      </c>
      <c r="AR100" s="18" t="s">
        <v>110</v>
      </c>
      <c r="AS100" s="18" t="s">
        <v>111</v>
      </c>
      <c r="AT100" s="18" t="s">
        <v>121</v>
      </c>
      <c r="AU100" s="19" t="s">
        <v>112</v>
      </c>
      <c r="AW100" s="9" t="s">
        <v>82</v>
      </c>
      <c r="AY100" s="78" t="s">
        <v>135</v>
      </c>
    </row>
    <row r="101" spans="1:71" ht="18" customHeight="1" x14ac:dyDescent="0.3">
      <c r="A101" s="25" t="s">
        <v>41</v>
      </c>
      <c r="B101" s="2" t="s">
        <v>125</v>
      </c>
      <c r="C101" s="35">
        <v>3292</v>
      </c>
      <c r="D101" s="35">
        <v>3344</v>
      </c>
      <c r="E101" s="35">
        <v>2810</v>
      </c>
      <c r="F101" s="35">
        <v>3331</v>
      </c>
      <c r="G101" s="35">
        <v>3801</v>
      </c>
      <c r="H101" s="35">
        <v>3994</v>
      </c>
      <c r="I101" s="35">
        <v>4040</v>
      </c>
      <c r="J101" s="35">
        <v>4247</v>
      </c>
      <c r="K101"/>
      <c r="L101"/>
      <c r="M101"/>
      <c r="N101" s="25" t="s">
        <v>41</v>
      </c>
      <c r="O101" s="2" t="s">
        <v>125</v>
      </c>
      <c r="P101" s="27">
        <v>763</v>
      </c>
      <c r="Q101" s="27">
        <v>823</v>
      </c>
      <c r="R101" s="27">
        <v>854</v>
      </c>
      <c r="S101" s="27">
        <v>852</v>
      </c>
      <c r="T101" s="27">
        <v>749</v>
      </c>
      <c r="U101" s="27">
        <v>842</v>
      </c>
      <c r="V101" s="27">
        <v>881</v>
      </c>
      <c r="W101" s="27">
        <v>872</v>
      </c>
      <c r="X101" s="27">
        <v>699</v>
      </c>
      <c r="Y101" s="27">
        <v>567</v>
      </c>
      <c r="Z101" s="27">
        <v>762</v>
      </c>
      <c r="AA101" s="27">
        <v>782</v>
      </c>
      <c r="AB101" s="27">
        <v>710</v>
      </c>
      <c r="AC101" s="27">
        <v>831</v>
      </c>
      <c r="AD101" s="27">
        <v>885</v>
      </c>
      <c r="AE101" s="27">
        <v>916</v>
      </c>
      <c r="AF101" s="27">
        <v>829</v>
      </c>
      <c r="AG101" s="27">
        <v>968</v>
      </c>
      <c r="AH101" s="27">
        <v>1033</v>
      </c>
      <c r="AI101" s="27">
        <v>993</v>
      </c>
      <c r="AJ101" s="27">
        <v>900</v>
      </c>
      <c r="AK101" s="27">
        <v>1016</v>
      </c>
      <c r="AL101" s="27">
        <v>1060</v>
      </c>
      <c r="AM101" s="27">
        <v>1018</v>
      </c>
      <c r="AN101" s="27">
        <v>939</v>
      </c>
      <c r="AO101" s="27">
        <v>1030</v>
      </c>
      <c r="AP101" s="27">
        <v>1044</v>
      </c>
      <c r="AQ101" s="27">
        <v>1027</v>
      </c>
      <c r="AR101" s="27">
        <v>903</v>
      </c>
      <c r="AS101" s="27">
        <v>1083</v>
      </c>
      <c r="AT101" s="27">
        <v>1125</v>
      </c>
      <c r="AU101" s="27">
        <v>1136</v>
      </c>
      <c r="AW101" s="2" t="s">
        <v>125</v>
      </c>
      <c r="AY101" s="78" t="s">
        <v>136</v>
      </c>
    </row>
    <row r="102" spans="1:71" ht="18" customHeight="1" x14ac:dyDescent="0.3">
      <c r="A102" s="25" t="s">
        <v>41</v>
      </c>
      <c r="B102" s="2" t="s">
        <v>126</v>
      </c>
      <c r="C102" s="35">
        <v>1651</v>
      </c>
      <c r="D102" s="35">
        <v>1777</v>
      </c>
      <c r="E102" s="35">
        <v>1602</v>
      </c>
      <c r="F102" s="35">
        <v>1156</v>
      </c>
      <c r="G102" s="35">
        <v>1196</v>
      </c>
      <c r="H102" s="35">
        <v>1896</v>
      </c>
      <c r="I102" s="35">
        <v>1451</v>
      </c>
      <c r="J102" s="35">
        <v>1514</v>
      </c>
      <c r="K102"/>
      <c r="L102"/>
      <c r="M102"/>
      <c r="N102" s="25" t="s">
        <v>41</v>
      </c>
      <c r="O102" s="2" t="s">
        <v>126</v>
      </c>
      <c r="P102" s="27">
        <v>390</v>
      </c>
      <c r="Q102" s="27">
        <v>418</v>
      </c>
      <c r="R102" s="27">
        <v>416</v>
      </c>
      <c r="S102" s="27">
        <v>427</v>
      </c>
      <c r="T102" s="27">
        <v>411</v>
      </c>
      <c r="U102" s="27">
        <v>447</v>
      </c>
      <c r="V102" s="27">
        <v>457</v>
      </c>
      <c r="W102" s="27">
        <v>462</v>
      </c>
      <c r="X102" s="27">
        <v>388</v>
      </c>
      <c r="Y102" s="27">
        <v>347</v>
      </c>
      <c r="Z102" s="27">
        <v>433</v>
      </c>
      <c r="AA102" s="27">
        <v>434</v>
      </c>
      <c r="AB102" s="27">
        <v>407</v>
      </c>
      <c r="AC102" s="27">
        <v>459</v>
      </c>
      <c r="AD102" s="27">
        <v>467</v>
      </c>
      <c r="AE102" s="27">
        <v>480</v>
      </c>
      <c r="AF102" s="27">
        <v>443</v>
      </c>
      <c r="AG102" s="27">
        <v>473</v>
      </c>
      <c r="AH102" s="27">
        <v>491</v>
      </c>
      <c r="AI102" s="27">
        <v>490</v>
      </c>
      <c r="AJ102" s="27">
        <v>484</v>
      </c>
      <c r="AK102" s="27">
        <v>529</v>
      </c>
      <c r="AL102" s="27">
        <v>538</v>
      </c>
      <c r="AM102" s="27">
        <v>345</v>
      </c>
      <c r="AN102" s="27">
        <v>350</v>
      </c>
      <c r="AO102" s="27">
        <v>364</v>
      </c>
      <c r="AP102" s="27">
        <v>362</v>
      </c>
      <c r="AQ102" s="27">
        <v>375</v>
      </c>
      <c r="AR102" s="27">
        <v>356</v>
      </c>
      <c r="AS102" s="27">
        <v>388</v>
      </c>
      <c r="AT102" s="27">
        <v>387</v>
      </c>
      <c r="AU102" s="27">
        <v>383</v>
      </c>
      <c r="AW102" s="2" t="s">
        <v>126</v>
      </c>
      <c r="AY102" s="78" t="s">
        <v>137</v>
      </c>
    </row>
    <row r="103" spans="1:71" ht="18" customHeight="1" x14ac:dyDescent="0.3">
      <c r="A103" s="25" t="s">
        <v>41</v>
      </c>
      <c r="B103" s="2" t="s">
        <v>127</v>
      </c>
      <c r="C103" s="35">
        <v>414</v>
      </c>
      <c r="D103" s="35">
        <v>482</v>
      </c>
      <c r="E103" s="35">
        <v>556</v>
      </c>
      <c r="F103" s="35">
        <v>559</v>
      </c>
      <c r="G103" s="35">
        <v>619</v>
      </c>
      <c r="H103" s="35">
        <v>720</v>
      </c>
      <c r="I103" s="35">
        <v>768</v>
      </c>
      <c r="J103" s="35">
        <v>800</v>
      </c>
      <c r="K103"/>
      <c r="L103"/>
      <c r="M103"/>
      <c r="N103" s="25" t="s">
        <v>41</v>
      </c>
      <c r="O103" s="2" t="s">
        <v>127</v>
      </c>
      <c r="P103" s="27">
        <v>101</v>
      </c>
      <c r="Q103" s="27">
        <v>102</v>
      </c>
      <c r="R103" s="27">
        <v>105</v>
      </c>
      <c r="S103" s="27">
        <v>106</v>
      </c>
      <c r="T103" s="27">
        <v>106</v>
      </c>
      <c r="U103" s="27">
        <v>111</v>
      </c>
      <c r="V103" s="27">
        <v>120</v>
      </c>
      <c r="W103" s="27">
        <v>145</v>
      </c>
      <c r="X103" s="27">
        <v>138</v>
      </c>
      <c r="Y103" s="27">
        <v>134</v>
      </c>
      <c r="Z103" s="27">
        <v>142</v>
      </c>
      <c r="AA103" s="27">
        <v>142</v>
      </c>
      <c r="AB103" s="27">
        <v>143</v>
      </c>
      <c r="AC103" s="27">
        <v>148</v>
      </c>
      <c r="AD103" s="27">
        <v>143</v>
      </c>
      <c r="AE103" s="27">
        <v>145</v>
      </c>
      <c r="AF103" s="27">
        <v>148</v>
      </c>
      <c r="AG103" s="27">
        <v>165</v>
      </c>
      <c r="AH103" s="27">
        <v>164</v>
      </c>
      <c r="AI103" s="27">
        <v>170</v>
      </c>
      <c r="AJ103" s="27">
        <v>168</v>
      </c>
      <c r="AK103" s="27">
        <v>182</v>
      </c>
      <c r="AL103" s="27">
        <v>188</v>
      </c>
      <c r="AM103" s="27">
        <v>182</v>
      </c>
      <c r="AN103" s="27">
        <v>178</v>
      </c>
      <c r="AO103" s="27">
        <v>194</v>
      </c>
      <c r="AP103" s="27">
        <v>195</v>
      </c>
      <c r="AQ103" s="27">
        <v>201</v>
      </c>
      <c r="AR103" s="27">
        <v>194</v>
      </c>
      <c r="AS103" s="27">
        <v>210</v>
      </c>
      <c r="AT103" s="27">
        <v>201</v>
      </c>
      <c r="AU103" s="27">
        <v>195</v>
      </c>
      <c r="AW103" s="2" t="s">
        <v>127</v>
      </c>
      <c r="AY103" s="78" t="s">
        <v>138</v>
      </c>
    </row>
    <row r="104" spans="1:71" ht="18" customHeight="1" x14ac:dyDescent="0.3">
      <c r="A104" s="25" t="s">
        <v>41</v>
      </c>
      <c r="B104" s="2" t="s">
        <v>128</v>
      </c>
      <c r="C104" s="35">
        <v>0</v>
      </c>
      <c r="D104" s="35">
        <v>0</v>
      </c>
      <c r="E104" s="35">
        <v>0</v>
      </c>
      <c r="F104" s="35">
        <v>5</v>
      </c>
      <c r="G104" s="35">
        <v>138</v>
      </c>
      <c r="H104" s="35">
        <v>188</v>
      </c>
      <c r="I104" s="35">
        <v>214</v>
      </c>
      <c r="J104" s="35">
        <v>232</v>
      </c>
      <c r="K104"/>
      <c r="L104"/>
      <c r="M104"/>
      <c r="N104" s="25" t="s">
        <v>41</v>
      </c>
      <c r="O104" s="2" t="s">
        <v>128</v>
      </c>
      <c r="P104" s="27">
        <v>0</v>
      </c>
      <c r="Q104" s="27">
        <v>0</v>
      </c>
      <c r="R104" s="27">
        <v>0</v>
      </c>
      <c r="S104" s="27">
        <v>0</v>
      </c>
      <c r="T104" s="27">
        <v>0</v>
      </c>
      <c r="U104" s="27">
        <v>0</v>
      </c>
      <c r="V104" s="27">
        <v>0</v>
      </c>
      <c r="W104" s="27">
        <v>0</v>
      </c>
      <c r="X104" s="27">
        <v>0</v>
      </c>
      <c r="Y104" s="27">
        <v>0</v>
      </c>
      <c r="Z104" s="27">
        <v>0</v>
      </c>
      <c r="AA104" s="27">
        <v>0</v>
      </c>
      <c r="AB104" s="27">
        <v>0</v>
      </c>
      <c r="AC104" s="27">
        <v>0</v>
      </c>
      <c r="AD104" s="27">
        <v>0</v>
      </c>
      <c r="AE104" s="27">
        <v>5</v>
      </c>
      <c r="AF104" s="27">
        <v>31</v>
      </c>
      <c r="AG104" s="27">
        <v>33</v>
      </c>
      <c r="AH104" s="27">
        <v>38</v>
      </c>
      <c r="AI104" s="27">
        <v>36</v>
      </c>
      <c r="AJ104" s="27">
        <v>38</v>
      </c>
      <c r="AK104" s="27">
        <v>48</v>
      </c>
      <c r="AL104" s="27">
        <v>51</v>
      </c>
      <c r="AM104" s="27">
        <v>51</v>
      </c>
      <c r="AN104" s="27">
        <v>50</v>
      </c>
      <c r="AO104" s="27">
        <v>53</v>
      </c>
      <c r="AP104" s="27">
        <v>53</v>
      </c>
      <c r="AQ104" s="27">
        <v>58</v>
      </c>
      <c r="AR104" s="27">
        <v>54</v>
      </c>
      <c r="AS104" s="27">
        <v>59</v>
      </c>
      <c r="AT104" s="27">
        <v>60</v>
      </c>
      <c r="AU104" s="27">
        <v>59</v>
      </c>
      <c r="AW104" s="2" t="s">
        <v>128</v>
      </c>
      <c r="AY104" s="78" t="s">
        <v>139</v>
      </c>
    </row>
    <row r="105" spans="1:71" ht="18" customHeight="1" x14ac:dyDescent="0.3">
      <c r="A105" s="25" t="s">
        <v>41</v>
      </c>
      <c r="B105" s="2" t="s">
        <v>140</v>
      </c>
      <c r="C105" s="35"/>
      <c r="D105" s="35"/>
      <c r="E105" s="35"/>
      <c r="F105" s="35">
        <v>688</v>
      </c>
      <c r="G105" s="35">
        <v>751</v>
      </c>
      <c r="H105" s="35">
        <v>224</v>
      </c>
      <c r="I105" s="35">
        <v>1933</v>
      </c>
      <c r="J105" s="35">
        <v>2641</v>
      </c>
      <c r="K105"/>
      <c r="L105"/>
      <c r="M105"/>
      <c r="N105" s="25" t="s">
        <v>41</v>
      </c>
      <c r="O105" s="2" t="s">
        <v>56</v>
      </c>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v>224</v>
      </c>
      <c r="AN105" s="27">
        <v>222</v>
      </c>
      <c r="AO105" s="27">
        <v>439</v>
      </c>
      <c r="AP105" s="27">
        <v>637</v>
      </c>
      <c r="AQ105" s="27">
        <v>635</v>
      </c>
      <c r="AR105" s="27">
        <v>602</v>
      </c>
      <c r="AS105" s="27">
        <f>250+469-49</f>
        <v>670</v>
      </c>
      <c r="AT105" s="27">
        <v>676</v>
      </c>
      <c r="AU105" s="27">
        <v>693</v>
      </c>
      <c r="AW105" s="2" t="s">
        <v>56</v>
      </c>
      <c r="AY105" s="78" t="s">
        <v>141</v>
      </c>
    </row>
    <row r="106" spans="1:71" ht="18" customHeight="1" thickBot="1" x14ac:dyDescent="0.35">
      <c r="A106"/>
      <c r="B106"/>
      <c r="C106" s="55">
        <f t="shared" ref="C106:J106" si="49">SUM(C101:C105)</f>
        <v>5357</v>
      </c>
      <c r="D106" s="55">
        <f t="shared" si="49"/>
        <v>5603</v>
      </c>
      <c r="E106" s="55">
        <f t="shared" si="49"/>
        <v>4968</v>
      </c>
      <c r="F106" s="55">
        <f t="shared" si="49"/>
        <v>5739</v>
      </c>
      <c r="G106" s="55">
        <f t="shared" si="49"/>
        <v>6505</v>
      </c>
      <c r="H106" s="55">
        <f t="shared" si="49"/>
        <v>7022</v>
      </c>
      <c r="I106" s="55">
        <f t="shared" si="49"/>
        <v>8406</v>
      </c>
      <c r="J106" s="55">
        <f t="shared" si="49"/>
        <v>9434</v>
      </c>
      <c r="K106"/>
      <c r="L106"/>
      <c r="M106"/>
      <c r="N106" s="25"/>
      <c r="O106" s="8" t="s">
        <v>78</v>
      </c>
      <c r="P106" s="55">
        <f t="shared" ref="P106:AL106" si="50">SUM(P101:P104)</f>
        <v>1254</v>
      </c>
      <c r="Q106" s="55">
        <f t="shared" si="50"/>
        <v>1343</v>
      </c>
      <c r="R106" s="55">
        <f t="shared" si="50"/>
        <v>1375</v>
      </c>
      <c r="S106" s="55">
        <f t="shared" si="50"/>
        <v>1385</v>
      </c>
      <c r="T106" s="55">
        <f t="shared" si="50"/>
        <v>1266</v>
      </c>
      <c r="U106" s="55">
        <f t="shared" si="50"/>
        <v>1400</v>
      </c>
      <c r="V106" s="55">
        <f t="shared" si="50"/>
        <v>1458</v>
      </c>
      <c r="W106" s="55">
        <f t="shared" si="50"/>
        <v>1479</v>
      </c>
      <c r="X106" s="55">
        <f t="shared" si="50"/>
        <v>1225</v>
      </c>
      <c r="Y106" s="55">
        <f t="shared" si="50"/>
        <v>1048</v>
      </c>
      <c r="Z106" s="55">
        <f t="shared" si="50"/>
        <v>1337</v>
      </c>
      <c r="AA106" s="55">
        <f t="shared" si="50"/>
        <v>1358</v>
      </c>
      <c r="AB106" s="55">
        <f t="shared" si="50"/>
        <v>1260</v>
      </c>
      <c r="AC106" s="55">
        <f t="shared" si="50"/>
        <v>1438</v>
      </c>
      <c r="AD106" s="55">
        <f t="shared" si="50"/>
        <v>1495</v>
      </c>
      <c r="AE106" s="55">
        <f t="shared" si="50"/>
        <v>1546</v>
      </c>
      <c r="AF106" s="55">
        <f t="shared" si="50"/>
        <v>1451</v>
      </c>
      <c r="AG106" s="55">
        <f t="shared" si="50"/>
        <v>1639</v>
      </c>
      <c r="AH106" s="55">
        <f t="shared" si="50"/>
        <v>1726</v>
      </c>
      <c r="AI106" s="55">
        <f t="shared" si="50"/>
        <v>1689</v>
      </c>
      <c r="AJ106" s="55">
        <f t="shared" si="50"/>
        <v>1590</v>
      </c>
      <c r="AK106" s="55">
        <f t="shared" si="50"/>
        <v>1775</v>
      </c>
      <c r="AL106" s="55">
        <f t="shared" si="50"/>
        <v>1837</v>
      </c>
      <c r="AM106" s="55">
        <f t="shared" ref="AM106:AU106" si="51">SUM(AM101:AM105)</f>
        <v>1820</v>
      </c>
      <c r="AN106" s="55">
        <f t="shared" si="51"/>
        <v>1739</v>
      </c>
      <c r="AO106" s="55">
        <f t="shared" si="51"/>
        <v>2080</v>
      </c>
      <c r="AP106" s="55">
        <f t="shared" si="51"/>
        <v>2291</v>
      </c>
      <c r="AQ106" s="55">
        <f t="shared" si="51"/>
        <v>2296</v>
      </c>
      <c r="AR106" s="55">
        <f t="shared" si="51"/>
        <v>2109</v>
      </c>
      <c r="AS106" s="55">
        <f t="shared" si="51"/>
        <v>2410</v>
      </c>
      <c r="AT106" s="55">
        <f t="shared" si="51"/>
        <v>2449</v>
      </c>
      <c r="AU106" s="55">
        <f t="shared" si="51"/>
        <v>2466</v>
      </c>
      <c r="AV106" s="61"/>
      <c r="AW106" s="8" t="s">
        <v>78</v>
      </c>
      <c r="BA106" s="79"/>
    </row>
    <row r="107" spans="1:71" ht="16.2" thickTop="1" x14ac:dyDescent="0.3">
      <c r="A107" s="4"/>
      <c r="B107" s="4" t="s">
        <v>142</v>
      </c>
      <c r="C107" s="4"/>
      <c r="D107" s="4"/>
      <c r="E107" s="68"/>
      <c r="F107" s="4"/>
      <c r="G107" s="4"/>
      <c r="H107" s="4"/>
      <c r="I107"/>
      <c r="J107" s="4"/>
      <c r="K107"/>
      <c r="L107"/>
      <c r="M107"/>
      <c r="N107" s="4"/>
      <c r="O107" s="4"/>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c r="AM107" s="30"/>
      <c r="AN107"/>
      <c r="AO107" s="30"/>
      <c r="AQ107" s="61">
        <f>AQ113-AQ106</f>
        <v>0</v>
      </c>
      <c r="AS107" s="30"/>
      <c r="AW107" s="4"/>
    </row>
    <row r="108" spans="1:71" x14ac:dyDescent="0.3">
      <c r="A108" s="4"/>
      <c r="B108" s="4"/>
      <c r="C108" s="4"/>
      <c r="D108" s="4"/>
      <c r="E108" s="68"/>
      <c r="F108" s="4"/>
      <c r="G108" s="4"/>
      <c r="H108" s="4"/>
      <c r="I108"/>
      <c r="J108" s="4"/>
      <c r="K108"/>
      <c r="L108"/>
      <c r="M108"/>
      <c r="N108" s="4"/>
      <c r="O108" s="4"/>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c r="AM108" s="30"/>
      <c r="AN108"/>
      <c r="AO108" s="30"/>
      <c r="AS108" s="30"/>
      <c r="AW108" s="4"/>
    </row>
    <row r="109" spans="1:71" x14ac:dyDescent="0.3">
      <c r="A109" s="18" t="s">
        <v>75</v>
      </c>
      <c r="B109" s="9" t="s">
        <v>122</v>
      </c>
      <c r="C109" s="9">
        <v>2018</v>
      </c>
      <c r="D109" s="9">
        <v>2019</v>
      </c>
      <c r="E109" s="9">
        <v>2020</v>
      </c>
      <c r="F109" s="10">
        <v>2021</v>
      </c>
      <c r="G109" s="11">
        <v>2022</v>
      </c>
      <c r="H109" s="12">
        <v>2023</v>
      </c>
      <c r="I109" s="13">
        <v>2024</v>
      </c>
      <c r="J109" s="14">
        <v>2025</v>
      </c>
      <c r="K109"/>
      <c r="L109"/>
      <c r="M109"/>
      <c r="N109" s="18" t="s">
        <v>75</v>
      </c>
      <c r="O109" s="9" t="s">
        <v>122</v>
      </c>
      <c r="P109" s="18" t="s">
        <v>119</v>
      </c>
      <c r="Q109" s="18" t="s">
        <v>120</v>
      </c>
      <c r="R109" s="18" t="s">
        <v>11</v>
      </c>
      <c r="S109" s="19" t="s">
        <v>90</v>
      </c>
      <c r="T109" s="18" t="s">
        <v>13</v>
      </c>
      <c r="U109" s="18" t="s">
        <v>14</v>
      </c>
      <c r="V109" s="18" t="s">
        <v>91</v>
      </c>
      <c r="W109" s="19" t="s">
        <v>92</v>
      </c>
      <c r="X109" s="18" t="s">
        <v>93</v>
      </c>
      <c r="Y109" s="18" t="s">
        <v>94</v>
      </c>
      <c r="Z109" s="18" t="s">
        <v>95</v>
      </c>
      <c r="AA109" s="19" t="s">
        <v>96</v>
      </c>
      <c r="AB109" s="18" t="s">
        <v>97</v>
      </c>
      <c r="AC109" s="18" t="s">
        <v>98</v>
      </c>
      <c r="AD109" s="18" t="s">
        <v>99</v>
      </c>
      <c r="AE109" s="19" t="s">
        <v>100</v>
      </c>
      <c r="AF109" s="18" t="s">
        <v>101</v>
      </c>
      <c r="AG109" s="18" t="s">
        <v>102</v>
      </c>
      <c r="AH109" s="18" t="s">
        <v>103</v>
      </c>
      <c r="AI109" s="19" t="s">
        <v>104</v>
      </c>
      <c r="AJ109" s="18" t="s">
        <v>105</v>
      </c>
      <c r="AK109" s="18" t="s">
        <v>106</v>
      </c>
      <c r="AL109" s="18" t="s">
        <v>107</v>
      </c>
      <c r="AM109" s="19" t="s">
        <v>32</v>
      </c>
      <c r="AN109" s="18" t="s">
        <v>33</v>
      </c>
      <c r="AO109" s="18" t="s">
        <v>34</v>
      </c>
      <c r="AP109" s="18" t="s">
        <v>108</v>
      </c>
      <c r="AQ109" s="19" t="s">
        <v>109</v>
      </c>
      <c r="AR109" s="18" t="s">
        <v>110</v>
      </c>
      <c r="AS109" s="18" t="s">
        <v>111</v>
      </c>
      <c r="AT109" s="18" t="s">
        <v>121</v>
      </c>
      <c r="AU109" s="19" t="s">
        <v>112</v>
      </c>
      <c r="AW109" s="9" t="s">
        <v>122</v>
      </c>
    </row>
    <row r="110" spans="1:71" x14ac:dyDescent="0.3">
      <c r="A110" s="25" t="s">
        <v>41</v>
      </c>
      <c r="B110" s="2" t="s">
        <v>129</v>
      </c>
      <c r="C110" s="35">
        <v>2984</v>
      </c>
      <c r="D110" s="35">
        <v>3037</v>
      </c>
      <c r="E110" s="35">
        <v>2546</v>
      </c>
      <c r="F110" s="35">
        <v>3035</v>
      </c>
      <c r="G110" s="35">
        <v>3458</v>
      </c>
      <c r="H110" s="35">
        <v>3630</v>
      </c>
      <c r="I110" s="35">
        <v>3684</v>
      </c>
      <c r="J110" s="35">
        <v>3846</v>
      </c>
      <c r="K110"/>
      <c r="L110"/>
      <c r="M110"/>
      <c r="N110" s="25" t="s">
        <v>41</v>
      </c>
      <c r="O110" s="2" t="s">
        <v>129</v>
      </c>
      <c r="P110" s="30">
        <v>692</v>
      </c>
      <c r="Q110" s="30">
        <v>746</v>
      </c>
      <c r="R110" s="30">
        <v>776</v>
      </c>
      <c r="S110" s="30">
        <v>770</v>
      </c>
      <c r="T110" s="30">
        <v>676</v>
      </c>
      <c r="U110" s="30">
        <v>764</v>
      </c>
      <c r="V110" s="30">
        <v>805</v>
      </c>
      <c r="W110" s="30">
        <v>792</v>
      </c>
      <c r="X110" s="30">
        <v>632</v>
      </c>
      <c r="Y110" s="30">
        <v>514</v>
      </c>
      <c r="Z110" s="30">
        <v>691</v>
      </c>
      <c r="AA110" s="30">
        <v>709</v>
      </c>
      <c r="AB110" s="30">
        <v>638</v>
      </c>
      <c r="AC110" s="30">
        <v>754</v>
      </c>
      <c r="AD110" s="30">
        <v>808</v>
      </c>
      <c r="AE110" s="30">
        <v>835</v>
      </c>
      <c r="AF110" s="30">
        <v>747</v>
      </c>
      <c r="AG110" s="30">
        <v>878</v>
      </c>
      <c r="AH110" s="30">
        <v>940</v>
      </c>
      <c r="AI110" s="30">
        <v>893</v>
      </c>
      <c r="AJ110" s="30">
        <v>809</v>
      </c>
      <c r="AK110" s="30">
        <v>918</v>
      </c>
      <c r="AL110" s="30">
        <v>956</v>
      </c>
      <c r="AM110" s="30">
        <v>947</v>
      </c>
      <c r="AN110" s="30">
        <v>856</v>
      </c>
      <c r="AO110" s="30">
        <v>945</v>
      </c>
      <c r="AP110" s="30">
        <v>955</v>
      </c>
      <c r="AQ110" s="30">
        <v>928</v>
      </c>
      <c r="AR110" s="30">
        <v>903</v>
      </c>
      <c r="AS110" s="30">
        <f>AS101</f>
        <v>1083</v>
      </c>
      <c r="AT110" s="30">
        <v>1028</v>
      </c>
      <c r="AU110" s="27">
        <v>832</v>
      </c>
      <c r="AW110" s="2" t="s">
        <v>129</v>
      </c>
    </row>
    <row r="111" spans="1:71" x14ac:dyDescent="0.3">
      <c r="A111" s="25" t="s">
        <v>41</v>
      </c>
      <c r="B111" s="2" t="s">
        <v>116</v>
      </c>
      <c r="C111" s="35">
        <v>1785</v>
      </c>
      <c r="D111" s="35">
        <v>1930</v>
      </c>
      <c r="E111" s="35">
        <v>1889</v>
      </c>
      <c r="F111" s="35">
        <v>2005</v>
      </c>
      <c r="G111" s="35">
        <v>2273</v>
      </c>
      <c r="H111" s="35">
        <v>2518</v>
      </c>
      <c r="I111" s="35">
        <v>3783</v>
      </c>
      <c r="J111" s="35">
        <v>4557</v>
      </c>
      <c r="K111"/>
      <c r="L111"/>
      <c r="M111"/>
      <c r="N111" s="25" t="s">
        <v>41</v>
      </c>
      <c r="O111" s="2" t="s">
        <v>116</v>
      </c>
      <c r="P111" s="30">
        <v>421</v>
      </c>
      <c r="Q111" s="30">
        <v>450</v>
      </c>
      <c r="R111" s="30">
        <v>448</v>
      </c>
      <c r="S111" s="30">
        <v>466</v>
      </c>
      <c r="T111" s="30">
        <v>444</v>
      </c>
      <c r="U111" s="30">
        <v>479</v>
      </c>
      <c r="V111" s="30">
        <v>489</v>
      </c>
      <c r="W111" s="30">
        <v>518</v>
      </c>
      <c r="X111" s="30">
        <v>450</v>
      </c>
      <c r="Y111" s="30">
        <v>443</v>
      </c>
      <c r="Z111" s="30">
        <v>499</v>
      </c>
      <c r="AA111" s="30">
        <v>497</v>
      </c>
      <c r="AB111" s="30">
        <v>478</v>
      </c>
      <c r="AC111" s="30">
        <v>515</v>
      </c>
      <c r="AD111" s="30">
        <v>500</v>
      </c>
      <c r="AE111" s="30">
        <v>512</v>
      </c>
      <c r="AF111" s="30">
        <v>521</v>
      </c>
      <c r="AG111" s="30">
        <v>571</v>
      </c>
      <c r="AH111" s="30">
        <v>587</v>
      </c>
      <c r="AI111" s="30">
        <v>594</v>
      </c>
      <c r="AJ111" s="30">
        <v>573</v>
      </c>
      <c r="AK111" s="30">
        <v>631</v>
      </c>
      <c r="AL111" s="30">
        <v>645</v>
      </c>
      <c r="AM111" s="30">
        <v>669</v>
      </c>
      <c r="AN111" s="30">
        <v>661</v>
      </c>
      <c r="AO111" s="30">
        <v>902</v>
      </c>
      <c r="AP111" s="30">
        <v>1092</v>
      </c>
      <c r="AQ111" s="30">
        <v>1128</v>
      </c>
      <c r="AR111" s="30">
        <v>1036</v>
      </c>
      <c r="AS111" s="30">
        <f>AS102+AS103+AS104+469</f>
        <v>1126</v>
      </c>
      <c r="AT111" s="30">
        <v>1148</v>
      </c>
      <c r="AU111" s="27">
        <v>1247</v>
      </c>
      <c r="AW111" s="2" t="s">
        <v>116</v>
      </c>
    </row>
    <row r="112" spans="1:71" x14ac:dyDescent="0.3">
      <c r="A112" s="25" t="s">
        <v>41</v>
      </c>
      <c r="B112" s="2" t="s">
        <v>115</v>
      </c>
      <c r="C112" s="35">
        <v>588</v>
      </c>
      <c r="D112" s="35">
        <v>636</v>
      </c>
      <c r="E112" s="35">
        <v>533</v>
      </c>
      <c r="F112" s="35">
        <v>699</v>
      </c>
      <c r="G112" s="35">
        <v>774</v>
      </c>
      <c r="H112" s="35">
        <v>874</v>
      </c>
      <c r="I112" s="35">
        <v>939</v>
      </c>
      <c r="J112" s="35">
        <v>1031</v>
      </c>
      <c r="K112"/>
      <c r="L112"/>
      <c r="M112"/>
      <c r="N112" s="25" t="s">
        <v>41</v>
      </c>
      <c r="O112" s="2" t="s">
        <v>115</v>
      </c>
      <c r="P112" s="30">
        <v>141</v>
      </c>
      <c r="Q112" s="30">
        <v>147</v>
      </c>
      <c r="R112" s="30">
        <v>151</v>
      </c>
      <c r="S112" s="30">
        <v>149</v>
      </c>
      <c r="T112" s="30">
        <v>146</v>
      </c>
      <c r="U112" s="30">
        <v>157</v>
      </c>
      <c r="V112" s="30">
        <v>164</v>
      </c>
      <c r="W112" s="30">
        <v>169</v>
      </c>
      <c r="X112" s="30">
        <v>143</v>
      </c>
      <c r="Y112" s="30">
        <v>91</v>
      </c>
      <c r="Z112" s="30">
        <v>147</v>
      </c>
      <c r="AA112" s="30">
        <v>152</v>
      </c>
      <c r="AB112" s="30">
        <v>144</v>
      </c>
      <c r="AC112" s="30">
        <v>169</v>
      </c>
      <c r="AD112" s="30">
        <v>187</v>
      </c>
      <c r="AE112" s="30">
        <v>199</v>
      </c>
      <c r="AF112" s="30">
        <v>183</v>
      </c>
      <c r="AG112" s="30">
        <v>190</v>
      </c>
      <c r="AH112" s="30">
        <v>199</v>
      </c>
      <c r="AI112" s="30">
        <v>202</v>
      </c>
      <c r="AJ112" s="30">
        <v>208</v>
      </c>
      <c r="AK112" s="30">
        <v>226</v>
      </c>
      <c r="AL112" s="30">
        <v>236</v>
      </c>
      <c r="AM112" s="30">
        <v>204</v>
      </c>
      <c r="AN112" s="30">
        <v>222</v>
      </c>
      <c r="AO112" s="30">
        <v>233</v>
      </c>
      <c r="AP112" s="30">
        <v>244</v>
      </c>
      <c r="AQ112" s="30">
        <v>240</v>
      </c>
      <c r="AR112" s="30">
        <v>170</v>
      </c>
      <c r="AS112" s="30">
        <f>250-49</f>
        <v>201</v>
      </c>
      <c r="AT112" s="30">
        <v>273</v>
      </c>
      <c r="AU112" s="27">
        <v>387</v>
      </c>
      <c r="AW112" s="2" t="s">
        <v>115</v>
      </c>
    </row>
    <row r="113" spans="1:57" ht="16.2" thickBot="1" x14ac:dyDescent="0.35">
      <c r="A113" s="25"/>
      <c r="B113" s="8" t="s">
        <v>78</v>
      </c>
      <c r="C113" s="55">
        <f t="shared" ref="C113:H113" si="52">SUM(C110:C112)</f>
        <v>5357</v>
      </c>
      <c r="D113" s="55">
        <f t="shared" si="52"/>
        <v>5603</v>
      </c>
      <c r="E113" s="55">
        <f t="shared" si="52"/>
        <v>4968</v>
      </c>
      <c r="F113" s="55">
        <f t="shared" si="52"/>
        <v>5739</v>
      </c>
      <c r="G113" s="55">
        <f t="shared" si="52"/>
        <v>6505</v>
      </c>
      <c r="H113" s="55">
        <f t="shared" si="52"/>
        <v>7022</v>
      </c>
      <c r="I113" s="55">
        <f t="shared" ref="I113:J113" si="53">SUM(I110:I112)</f>
        <v>8406</v>
      </c>
      <c r="J113" s="55">
        <f t="shared" si="53"/>
        <v>9434</v>
      </c>
      <c r="K113"/>
      <c r="L113"/>
      <c r="M113"/>
      <c r="N113" s="25"/>
      <c r="O113" s="8" t="s">
        <v>78</v>
      </c>
      <c r="P113" s="55">
        <f t="shared" ref="P113:AU113" si="54">SUM(P110:P112)</f>
        <v>1254</v>
      </c>
      <c r="Q113" s="55">
        <f t="shared" si="54"/>
        <v>1343</v>
      </c>
      <c r="R113" s="55">
        <f t="shared" si="54"/>
        <v>1375</v>
      </c>
      <c r="S113" s="55">
        <f t="shared" si="54"/>
        <v>1385</v>
      </c>
      <c r="T113" s="55">
        <f t="shared" si="54"/>
        <v>1266</v>
      </c>
      <c r="U113" s="55">
        <f t="shared" si="54"/>
        <v>1400</v>
      </c>
      <c r="V113" s="55">
        <f t="shared" si="54"/>
        <v>1458</v>
      </c>
      <c r="W113" s="55">
        <f t="shared" si="54"/>
        <v>1479</v>
      </c>
      <c r="X113" s="55">
        <f t="shared" si="54"/>
        <v>1225</v>
      </c>
      <c r="Y113" s="55">
        <f t="shared" si="54"/>
        <v>1048</v>
      </c>
      <c r="Z113" s="55">
        <f t="shared" si="54"/>
        <v>1337</v>
      </c>
      <c r="AA113" s="55">
        <f t="shared" si="54"/>
        <v>1358</v>
      </c>
      <c r="AB113" s="55">
        <f t="shared" si="54"/>
        <v>1260</v>
      </c>
      <c r="AC113" s="55">
        <f t="shared" si="54"/>
        <v>1438</v>
      </c>
      <c r="AD113" s="55">
        <f t="shared" si="54"/>
        <v>1495</v>
      </c>
      <c r="AE113" s="55">
        <f t="shared" si="54"/>
        <v>1546</v>
      </c>
      <c r="AF113" s="55">
        <f t="shared" si="54"/>
        <v>1451</v>
      </c>
      <c r="AG113" s="55">
        <f t="shared" si="54"/>
        <v>1639</v>
      </c>
      <c r="AH113" s="55">
        <f t="shared" si="54"/>
        <v>1726</v>
      </c>
      <c r="AI113" s="55">
        <f t="shared" si="54"/>
        <v>1689</v>
      </c>
      <c r="AJ113" s="55">
        <f t="shared" si="54"/>
        <v>1590</v>
      </c>
      <c r="AK113" s="55">
        <f t="shared" si="54"/>
        <v>1775</v>
      </c>
      <c r="AL113" s="55">
        <f t="shared" si="54"/>
        <v>1837</v>
      </c>
      <c r="AM113" s="55">
        <f t="shared" si="54"/>
        <v>1820</v>
      </c>
      <c r="AN113" s="55">
        <f t="shared" si="54"/>
        <v>1739</v>
      </c>
      <c r="AO113" s="55">
        <f t="shared" si="54"/>
        <v>2080</v>
      </c>
      <c r="AP113" s="55">
        <f t="shared" si="54"/>
        <v>2291</v>
      </c>
      <c r="AQ113" s="55">
        <f t="shared" si="54"/>
        <v>2296</v>
      </c>
      <c r="AR113" s="55">
        <f t="shared" si="54"/>
        <v>2109</v>
      </c>
      <c r="AS113" s="55">
        <f t="shared" si="54"/>
        <v>2410</v>
      </c>
      <c r="AT113" s="55">
        <f t="shared" si="54"/>
        <v>2449</v>
      </c>
      <c r="AU113" s="55">
        <f t="shared" si="54"/>
        <v>2466</v>
      </c>
      <c r="AW113" s="8" t="s">
        <v>78</v>
      </c>
    </row>
    <row r="114" spans="1:57" ht="16.2" thickTop="1"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W114" s="53"/>
    </row>
    <row r="115" spans="1:57"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W115" s="53"/>
    </row>
    <row r="116" spans="1:57" x14ac:dyDescent="0.3">
      <c r="A116" s="18" t="s">
        <v>75</v>
      </c>
      <c r="B116" s="9" t="s">
        <v>143</v>
      </c>
      <c r="C116" s="9">
        <v>2018</v>
      </c>
      <c r="D116" s="9">
        <v>2019</v>
      </c>
      <c r="E116" s="9">
        <v>2020</v>
      </c>
      <c r="F116" s="10">
        <v>2021</v>
      </c>
      <c r="G116" s="11">
        <v>2022</v>
      </c>
      <c r="H116" s="12">
        <v>2023</v>
      </c>
      <c r="I116" s="13">
        <v>2024</v>
      </c>
      <c r="J116" s="14">
        <v>2025</v>
      </c>
      <c r="K116"/>
      <c r="L116"/>
      <c r="M116"/>
      <c r="N116" s="18" t="s">
        <v>75</v>
      </c>
      <c r="O116" s="9" t="s">
        <v>143</v>
      </c>
      <c r="P116" s="18" t="s">
        <v>119</v>
      </c>
      <c r="Q116" s="18" t="s">
        <v>120</v>
      </c>
      <c r="R116" s="18" t="s">
        <v>11</v>
      </c>
      <c r="S116" s="19" t="s">
        <v>90</v>
      </c>
      <c r="T116" s="18" t="s">
        <v>13</v>
      </c>
      <c r="U116" s="18" t="s">
        <v>14</v>
      </c>
      <c r="V116" s="18" t="s">
        <v>91</v>
      </c>
      <c r="W116" s="19" t="s">
        <v>92</v>
      </c>
      <c r="X116" s="18" t="s">
        <v>93</v>
      </c>
      <c r="Y116" s="18" t="s">
        <v>94</v>
      </c>
      <c r="Z116" s="18" t="s">
        <v>95</v>
      </c>
      <c r="AA116" s="19" t="s">
        <v>96</v>
      </c>
      <c r="AB116" s="18" t="s">
        <v>97</v>
      </c>
      <c r="AC116" s="18" t="s">
        <v>98</v>
      </c>
      <c r="AD116" s="18" t="s">
        <v>99</v>
      </c>
      <c r="AE116" s="19" t="s">
        <v>100</v>
      </c>
      <c r="AF116" s="18" t="s">
        <v>101</v>
      </c>
      <c r="AG116" s="18" t="s">
        <v>102</v>
      </c>
      <c r="AH116" s="18" t="s">
        <v>103</v>
      </c>
      <c r="AI116" s="19" t="s">
        <v>104</v>
      </c>
      <c r="AJ116" s="18" t="s">
        <v>105</v>
      </c>
      <c r="AK116" s="18" t="s">
        <v>106</v>
      </c>
      <c r="AL116" s="18" t="s">
        <v>107</v>
      </c>
      <c r="AM116" s="19" t="s">
        <v>32</v>
      </c>
      <c r="AN116" s="18" t="s">
        <v>33</v>
      </c>
      <c r="AO116" s="18" t="s">
        <v>34</v>
      </c>
      <c r="AP116" s="18" t="s">
        <v>108</v>
      </c>
      <c r="AQ116" s="19" t="s">
        <v>109</v>
      </c>
      <c r="AR116" s="18" t="s">
        <v>110</v>
      </c>
      <c r="AS116" s="18" t="s">
        <v>111</v>
      </c>
      <c r="AT116" s="18" t="s">
        <v>121</v>
      </c>
      <c r="AU116" s="19" t="s">
        <v>112</v>
      </c>
      <c r="AW116" s="9" t="s">
        <v>143</v>
      </c>
    </row>
    <row r="117" spans="1:57" x14ac:dyDescent="0.3">
      <c r="A117" s="25" t="s">
        <v>41</v>
      </c>
      <c r="B117" s="2" t="s">
        <v>144</v>
      </c>
      <c r="C117" s="30">
        <v>2355</v>
      </c>
      <c r="D117" s="30">
        <v>2362</v>
      </c>
      <c r="E117" s="30">
        <v>2013</v>
      </c>
      <c r="F117" s="30">
        <v>2378</v>
      </c>
      <c r="G117" s="30">
        <v>2819</v>
      </c>
      <c r="H117" s="35">
        <v>2950</v>
      </c>
      <c r="I117" s="35">
        <v>4301</v>
      </c>
      <c r="J117" s="35">
        <v>5257</v>
      </c>
      <c r="K117"/>
      <c r="L117"/>
      <c r="M117"/>
      <c r="N117" s="25" t="s">
        <v>41</v>
      </c>
      <c r="O117" s="2" t="s">
        <v>144</v>
      </c>
      <c r="P117" s="30"/>
      <c r="Q117" s="30"/>
      <c r="R117" s="30"/>
      <c r="S117" s="30"/>
      <c r="T117" s="30">
        <v>522</v>
      </c>
      <c r="U117" s="30">
        <v>589</v>
      </c>
      <c r="V117" s="30">
        <v>624</v>
      </c>
      <c r="W117" s="30">
        <v>627</v>
      </c>
      <c r="X117" s="30">
        <v>503</v>
      </c>
      <c r="Y117" s="30">
        <v>406</v>
      </c>
      <c r="Z117" s="30">
        <v>541</v>
      </c>
      <c r="AA117" s="30">
        <v>563</v>
      </c>
      <c r="AB117" s="30">
        <v>507</v>
      </c>
      <c r="AC117" s="30">
        <v>590</v>
      </c>
      <c r="AD117" s="30">
        <v>621</v>
      </c>
      <c r="AE117" s="30">
        <v>660</v>
      </c>
      <c r="AF117" s="30">
        <v>609</v>
      </c>
      <c r="AG117" s="30">
        <v>708</v>
      </c>
      <c r="AH117" s="30">
        <v>759</v>
      </c>
      <c r="AI117" s="30">
        <v>743</v>
      </c>
      <c r="AJ117" s="30">
        <v>668</v>
      </c>
      <c r="AK117" s="30">
        <v>744</v>
      </c>
      <c r="AL117" s="30">
        <v>771</v>
      </c>
      <c r="AM117" s="30">
        <v>767</v>
      </c>
      <c r="AN117" s="30">
        <v>729</v>
      </c>
      <c r="AO117" s="30">
        <f>682+347</f>
        <v>1029</v>
      </c>
      <c r="AP117" s="30">
        <v>1266</v>
      </c>
      <c r="AQ117" s="30">
        <v>1277</v>
      </c>
      <c r="AR117" s="30">
        <v>1169</v>
      </c>
      <c r="AS117" s="30">
        <f>732+600</f>
        <v>1332</v>
      </c>
      <c r="AT117" s="30">
        <f>769+588</f>
        <v>1357</v>
      </c>
      <c r="AU117" s="27">
        <v>1399</v>
      </c>
      <c r="AW117" s="2" t="s">
        <v>145</v>
      </c>
    </row>
    <row r="118" spans="1:57" x14ac:dyDescent="0.3">
      <c r="A118" s="25" t="s">
        <v>41</v>
      </c>
      <c r="B118" s="2" t="s">
        <v>146</v>
      </c>
      <c r="C118" s="69">
        <v>3002</v>
      </c>
      <c r="D118" s="69">
        <v>3241</v>
      </c>
      <c r="E118" s="69">
        <v>2121</v>
      </c>
      <c r="F118" s="69">
        <v>2443</v>
      </c>
      <c r="G118" s="69">
        <v>2661</v>
      </c>
      <c r="H118" s="35">
        <v>2903</v>
      </c>
      <c r="I118" s="35">
        <v>2990</v>
      </c>
      <c r="J118" s="35">
        <v>2960</v>
      </c>
      <c r="K118"/>
      <c r="L118"/>
      <c r="M118"/>
      <c r="N118" s="25" t="s">
        <v>41</v>
      </c>
      <c r="O118" s="2" t="s">
        <v>146</v>
      </c>
      <c r="P118" s="30"/>
      <c r="Q118" s="30"/>
      <c r="R118" s="30"/>
      <c r="S118" s="30"/>
      <c r="T118" s="30">
        <v>744</v>
      </c>
      <c r="U118" s="30">
        <v>811</v>
      </c>
      <c r="V118" s="30">
        <v>834</v>
      </c>
      <c r="W118" s="30">
        <v>852</v>
      </c>
      <c r="X118" s="30">
        <v>525</v>
      </c>
      <c r="Y118" s="30">
        <v>450</v>
      </c>
      <c r="Z118" s="30">
        <v>577</v>
      </c>
      <c r="AA118" s="30">
        <v>569</v>
      </c>
      <c r="AB118" s="30">
        <v>548</v>
      </c>
      <c r="AC118" s="30">
        <v>612</v>
      </c>
      <c r="AD118" s="30">
        <v>635</v>
      </c>
      <c r="AE118" s="30">
        <v>648</v>
      </c>
      <c r="AF118" s="30">
        <v>615</v>
      </c>
      <c r="AG118" s="30">
        <v>676</v>
      </c>
      <c r="AH118" s="30">
        <v>698</v>
      </c>
      <c r="AI118" s="30">
        <v>672</v>
      </c>
      <c r="AJ118" s="30">
        <v>668</v>
      </c>
      <c r="AK118" s="30">
        <v>742</v>
      </c>
      <c r="AL118" s="30">
        <v>753</v>
      </c>
      <c r="AM118" s="30">
        <v>740</v>
      </c>
      <c r="AN118" s="30">
        <v>712</v>
      </c>
      <c r="AO118" s="30">
        <v>747</v>
      </c>
      <c r="AP118" s="30">
        <v>735</v>
      </c>
      <c r="AQ118" s="30">
        <v>796</v>
      </c>
      <c r="AR118" s="30">
        <v>663</v>
      </c>
      <c r="AS118" s="30">
        <v>760</v>
      </c>
      <c r="AT118" s="30">
        <v>778</v>
      </c>
      <c r="AU118" s="27">
        <v>759</v>
      </c>
      <c r="AW118" s="2" t="s">
        <v>147</v>
      </c>
    </row>
    <row r="119" spans="1:57" x14ac:dyDescent="0.3">
      <c r="A119" s="25" t="s">
        <v>41</v>
      </c>
      <c r="B119" t="s">
        <v>148</v>
      </c>
      <c r="C119" s="69">
        <v>0</v>
      </c>
      <c r="D119" s="69">
        <v>0</v>
      </c>
      <c r="E119" s="69">
        <v>834</v>
      </c>
      <c r="F119" s="69">
        <v>918</v>
      </c>
      <c r="G119" s="69">
        <v>1025</v>
      </c>
      <c r="H119" s="35">
        <v>1169</v>
      </c>
      <c r="I119" s="35">
        <v>1115</v>
      </c>
      <c r="J119" s="35">
        <v>1217</v>
      </c>
      <c r="K119"/>
      <c r="L119"/>
      <c r="M119"/>
      <c r="N119" s="25" t="s">
        <v>41</v>
      </c>
      <c r="O119" t="s">
        <v>148</v>
      </c>
      <c r="P119" s="30"/>
      <c r="Q119" s="30"/>
      <c r="R119" s="30"/>
      <c r="S119" s="30"/>
      <c r="T119" s="30"/>
      <c r="U119" s="30"/>
      <c r="V119" s="30"/>
      <c r="W119" s="30"/>
      <c r="X119" s="30">
        <v>197</v>
      </c>
      <c r="Y119" s="30">
        <v>192</v>
      </c>
      <c r="Z119" s="30">
        <v>219</v>
      </c>
      <c r="AA119" s="30">
        <v>226</v>
      </c>
      <c r="AB119" s="30">
        <v>205</v>
      </c>
      <c r="AC119" s="30">
        <v>236</v>
      </c>
      <c r="AD119" s="30">
        <v>239</v>
      </c>
      <c r="AE119" s="30">
        <v>238</v>
      </c>
      <c r="AF119" s="30">
        <v>227</v>
      </c>
      <c r="AG119" s="30">
        <v>255</v>
      </c>
      <c r="AH119" s="30">
        <v>269</v>
      </c>
      <c r="AI119" s="30">
        <v>274</v>
      </c>
      <c r="AJ119" s="30">
        <v>254</v>
      </c>
      <c r="AK119" s="30">
        <v>289</v>
      </c>
      <c r="AL119" s="30">
        <v>313</v>
      </c>
      <c r="AM119" s="30">
        <v>313</v>
      </c>
      <c r="AN119" s="30">
        <v>298</v>
      </c>
      <c r="AO119" s="30">
        <v>304</v>
      </c>
      <c r="AP119" s="30">
        <v>290</v>
      </c>
      <c r="AQ119" s="30">
        <v>223</v>
      </c>
      <c r="AR119" s="30">
        <v>277</v>
      </c>
      <c r="AS119" s="30">
        <v>318</v>
      </c>
      <c r="AT119" s="30">
        <v>314</v>
      </c>
      <c r="AU119" s="27">
        <v>308</v>
      </c>
      <c r="AW119" t="s">
        <v>148</v>
      </c>
    </row>
    <row r="120" spans="1:57" ht="16.2" thickBot="1" x14ac:dyDescent="0.35">
      <c r="A120"/>
      <c r="B120" s="8" t="s">
        <v>78</v>
      </c>
      <c r="C120" s="56">
        <f t="shared" ref="C120:J120" si="55">SUM(C117:C119)</f>
        <v>5357</v>
      </c>
      <c r="D120" s="56">
        <f t="shared" si="55"/>
        <v>5603</v>
      </c>
      <c r="E120" s="56">
        <f t="shared" si="55"/>
        <v>4968</v>
      </c>
      <c r="F120" s="56">
        <f t="shared" si="55"/>
        <v>5739</v>
      </c>
      <c r="G120" s="56">
        <f t="shared" si="55"/>
        <v>6505</v>
      </c>
      <c r="H120" s="56">
        <f t="shared" si="55"/>
        <v>7022</v>
      </c>
      <c r="I120" s="56">
        <f t="shared" si="55"/>
        <v>8406</v>
      </c>
      <c r="J120" s="56">
        <f t="shared" si="55"/>
        <v>9434</v>
      </c>
      <c r="K120"/>
      <c r="L120"/>
      <c r="M120"/>
      <c r="N120"/>
      <c r="O120" s="8" t="s">
        <v>78</v>
      </c>
      <c r="P120" s="55">
        <f t="shared" ref="P120:V120" si="56">SUM(P117:P118)</f>
        <v>0</v>
      </c>
      <c r="Q120" s="55">
        <f t="shared" si="56"/>
        <v>0</v>
      </c>
      <c r="R120" s="55">
        <f t="shared" si="56"/>
        <v>0</v>
      </c>
      <c r="S120" s="55">
        <f t="shared" si="56"/>
        <v>0</v>
      </c>
      <c r="T120" s="55">
        <f t="shared" si="56"/>
        <v>1266</v>
      </c>
      <c r="U120" s="55">
        <f t="shared" si="56"/>
        <v>1400</v>
      </c>
      <c r="V120" s="55">
        <f t="shared" si="56"/>
        <v>1458</v>
      </c>
      <c r="W120" s="55">
        <f t="shared" ref="W120:AJ120" si="57">SUM(W117:W119)</f>
        <v>1479</v>
      </c>
      <c r="X120" s="55">
        <f t="shared" si="57"/>
        <v>1225</v>
      </c>
      <c r="Y120" s="55">
        <f t="shared" si="57"/>
        <v>1048</v>
      </c>
      <c r="Z120" s="55">
        <f t="shared" si="57"/>
        <v>1337</v>
      </c>
      <c r="AA120" s="55">
        <f t="shared" si="57"/>
        <v>1358</v>
      </c>
      <c r="AB120" s="55">
        <f t="shared" si="57"/>
        <v>1260</v>
      </c>
      <c r="AC120" s="55">
        <f t="shared" si="57"/>
        <v>1438</v>
      </c>
      <c r="AD120" s="55">
        <f t="shared" si="57"/>
        <v>1495</v>
      </c>
      <c r="AE120" s="55">
        <f t="shared" si="57"/>
        <v>1546</v>
      </c>
      <c r="AF120" s="55">
        <f t="shared" si="57"/>
        <v>1451</v>
      </c>
      <c r="AG120" s="55">
        <f t="shared" si="57"/>
        <v>1639</v>
      </c>
      <c r="AH120" s="55">
        <f t="shared" si="57"/>
        <v>1726</v>
      </c>
      <c r="AI120" s="55">
        <f t="shared" si="57"/>
        <v>1689</v>
      </c>
      <c r="AJ120" s="55">
        <f t="shared" si="57"/>
        <v>1590</v>
      </c>
      <c r="AK120" s="55">
        <f>SUM(AK117:AK119)</f>
        <v>1775</v>
      </c>
      <c r="AL120" s="55">
        <f t="shared" ref="AL120:AN120" si="58">SUM(AL117:AL119)</f>
        <v>1837</v>
      </c>
      <c r="AM120" s="55">
        <f t="shared" si="58"/>
        <v>1820</v>
      </c>
      <c r="AN120" s="55">
        <f t="shared" si="58"/>
        <v>1739</v>
      </c>
      <c r="AO120" s="55">
        <f>SUM(AO117:AO119)</f>
        <v>2080</v>
      </c>
      <c r="AP120" s="55">
        <f t="shared" ref="AP120:AR120" si="59">SUM(AP117:AP119)</f>
        <v>2291</v>
      </c>
      <c r="AQ120" s="55">
        <f t="shared" si="59"/>
        <v>2296</v>
      </c>
      <c r="AR120" s="55">
        <f t="shared" si="59"/>
        <v>2109</v>
      </c>
      <c r="AS120" s="55">
        <f>SUM(AS117:AS119)</f>
        <v>2410</v>
      </c>
      <c r="AT120" s="55">
        <f t="shared" ref="AT120:AU120" si="60">SUM(AT117:AT119)</f>
        <v>2449</v>
      </c>
      <c r="AU120" s="55">
        <f t="shared" si="60"/>
        <v>2466</v>
      </c>
      <c r="AW120" s="8" t="s">
        <v>78</v>
      </c>
    </row>
    <row r="121" spans="1:57" ht="16.2" thickTop="1" x14ac:dyDescent="0.3">
      <c r="A121"/>
      <c r="B121" s="80" t="s">
        <v>149</v>
      </c>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W121" s="80" t="s">
        <v>149</v>
      </c>
    </row>
    <row r="122" spans="1:57" x14ac:dyDescent="0.3">
      <c r="A122"/>
      <c r="B122" s="2" t="s">
        <v>150</v>
      </c>
      <c r="C122"/>
      <c r="D122"/>
      <c r="E122"/>
      <c r="F122"/>
      <c r="G122"/>
      <c r="H122"/>
      <c r="I122"/>
      <c r="J122"/>
      <c r="K122"/>
      <c r="L122"/>
      <c r="M122"/>
      <c r="N122"/>
      <c r="O122" s="2" t="s">
        <v>151</v>
      </c>
      <c r="Q122"/>
      <c r="R122"/>
      <c r="S122"/>
      <c r="T122"/>
      <c r="U122"/>
      <c r="V122"/>
      <c r="W122"/>
      <c r="X122"/>
      <c r="Y122"/>
      <c r="Z122"/>
      <c r="AA122"/>
      <c r="AB122"/>
      <c r="AC122"/>
      <c r="AD122"/>
      <c r="AE122"/>
      <c r="AF122"/>
      <c r="AG122"/>
      <c r="AH122"/>
      <c r="AI122"/>
      <c r="AJ122"/>
      <c r="AK122"/>
      <c r="AL122"/>
      <c r="AM122"/>
      <c r="AN122"/>
      <c r="AO122"/>
      <c r="AW122" s="2" t="s">
        <v>150</v>
      </c>
    </row>
    <row r="123" spans="1:57"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W123" s="53"/>
    </row>
    <row r="124" spans="1:57" x14ac:dyDescent="0.3">
      <c r="A124"/>
      <c r="B124"/>
      <c r="C124"/>
      <c r="D124"/>
      <c r="E124"/>
      <c r="F124"/>
      <c r="G124"/>
      <c r="H124"/>
      <c r="I124"/>
      <c r="J124"/>
      <c r="K124"/>
      <c r="L124"/>
      <c r="M124"/>
      <c r="N124"/>
      <c r="O124"/>
      <c r="P124"/>
      <c r="Q124"/>
      <c r="R124"/>
      <c r="S124"/>
      <c r="T124"/>
      <c r="U124"/>
      <c r="V124"/>
      <c r="W124"/>
      <c r="X124"/>
      <c r="Y124" s="81" t="s">
        <v>152</v>
      </c>
      <c r="Z124" s="81"/>
      <c r="AA124" s="81"/>
      <c r="AB124" s="81"/>
      <c r="AC124" s="81"/>
      <c r="AD124" s="81"/>
      <c r="AE124" s="81"/>
      <c r="AF124"/>
      <c r="AG124"/>
      <c r="AH124"/>
      <c r="AI124"/>
      <c r="AJ124"/>
      <c r="AK124"/>
      <c r="AL124"/>
      <c r="AM124"/>
      <c r="AN124"/>
      <c r="AO124"/>
      <c r="AW124" s="53"/>
      <c r="AX124" s="6"/>
      <c r="AY124" s="6"/>
      <c r="AZ124" s="6"/>
      <c r="BA124" s="2"/>
      <c r="BB124" s="2"/>
      <c r="BC124" s="2"/>
      <c r="BD124" s="2"/>
      <c r="BE124" s="2"/>
    </row>
    <row r="125" spans="1:57" x14ac:dyDescent="0.3">
      <c r="A125" s="8" t="s">
        <v>153</v>
      </c>
      <c r="B125" s="2"/>
      <c r="C125" s="9">
        <v>2018</v>
      </c>
      <c r="D125" s="9">
        <v>2019</v>
      </c>
      <c r="E125" s="9">
        <v>2020</v>
      </c>
      <c r="F125" s="10">
        <v>2021</v>
      </c>
      <c r="G125" s="11">
        <v>2022</v>
      </c>
      <c r="H125" s="12">
        <v>2023</v>
      </c>
      <c r="I125" s="13">
        <v>2024</v>
      </c>
      <c r="J125" s="14">
        <v>2025</v>
      </c>
      <c r="K125" s="16" t="s">
        <v>89</v>
      </c>
      <c r="L125" s="82"/>
      <c r="M125" s="82"/>
      <c r="N125" s="8" t="s">
        <v>153</v>
      </c>
      <c r="O125" s="2"/>
      <c r="P125" s="18" t="s">
        <v>119</v>
      </c>
      <c r="Q125" s="18" t="s">
        <v>120</v>
      </c>
      <c r="R125" s="18" t="s">
        <v>11</v>
      </c>
      <c r="S125" s="19" t="s">
        <v>90</v>
      </c>
      <c r="T125" s="18" t="s">
        <v>13</v>
      </c>
      <c r="U125" s="18" t="s">
        <v>14</v>
      </c>
      <c r="V125" s="18" t="s">
        <v>91</v>
      </c>
      <c r="W125" s="19" t="s">
        <v>92</v>
      </c>
      <c r="X125" s="18" t="s">
        <v>93</v>
      </c>
      <c r="Y125" s="18" t="s">
        <v>94</v>
      </c>
      <c r="Z125" s="18" t="s">
        <v>95</v>
      </c>
      <c r="AA125" s="19" t="s">
        <v>96</v>
      </c>
      <c r="AB125" s="18" t="s">
        <v>97</v>
      </c>
      <c r="AC125" s="18" t="s">
        <v>98</v>
      </c>
      <c r="AD125" s="18" t="s">
        <v>99</v>
      </c>
      <c r="AE125" s="19" t="s">
        <v>100</v>
      </c>
      <c r="AF125" s="18" t="s">
        <v>101</v>
      </c>
      <c r="AG125" s="18" t="s">
        <v>102</v>
      </c>
      <c r="AH125" s="18" t="s">
        <v>103</v>
      </c>
      <c r="AI125" s="19" t="s">
        <v>104</v>
      </c>
      <c r="AJ125" s="18" t="s">
        <v>105</v>
      </c>
      <c r="AK125" s="18" t="s">
        <v>106</v>
      </c>
      <c r="AL125" s="18" t="s">
        <v>107</v>
      </c>
      <c r="AM125" s="19" t="s">
        <v>32</v>
      </c>
      <c r="AN125" s="18" t="s">
        <v>33</v>
      </c>
      <c r="AO125" s="18" t="s">
        <v>34</v>
      </c>
      <c r="AP125" s="18" t="s">
        <v>108</v>
      </c>
      <c r="AQ125" s="19" t="s">
        <v>109</v>
      </c>
      <c r="AR125" s="18" t="s">
        <v>110</v>
      </c>
      <c r="AS125" s="18" t="s">
        <v>111</v>
      </c>
      <c r="AT125" s="18" t="s">
        <v>121</v>
      </c>
      <c r="AU125" s="19" t="s">
        <v>112</v>
      </c>
      <c r="AW125" s="53"/>
      <c r="AX125" s="6"/>
      <c r="AY125" s="6"/>
      <c r="AZ125" s="6"/>
      <c r="BA125" s="2"/>
      <c r="BB125" s="18" t="s">
        <v>111</v>
      </c>
      <c r="BC125" s="18" t="s">
        <v>121</v>
      </c>
      <c r="BD125" s="19" t="s">
        <v>112</v>
      </c>
      <c r="BE125" s="2"/>
    </row>
    <row r="126" spans="1:57" x14ac:dyDescent="0.3">
      <c r="A126" s="25" t="s">
        <v>154</v>
      </c>
      <c r="B126" s="2" t="s">
        <v>42</v>
      </c>
      <c r="C126" s="36"/>
      <c r="D126" s="36">
        <v>3024.9340000000002</v>
      </c>
      <c r="E126" s="36">
        <v>4033.4180000000001</v>
      </c>
      <c r="F126" s="36">
        <v>7965.3230000000003</v>
      </c>
      <c r="G126" s="36">
        <v>13292.982</v>
      </c>
      <c r="H126" s="36">
        <v>24903.166000000001</v>
      </c>
      <c r="I126" s="36">
        <v>34474.813999999998</v>
      </c>
      <c r="J126" s="28">
        <v>49288.091</v>
      </c>
      <c r="K126" s="36"/>
      <c r="L126" s="36"/>
      <c r="M126" s="36"/>
      <c r="N126" s="25" t="s">
        <v>154</v>
      </c>
      <c r="O126" s="2" t="s">
        <v>42</v>
      </c>
      <c r="P126" s="31"/>
      <c r="Q126" s="31"/>
      <c r="R126" s="31"/>
      <c r="S126" s="31">
        <v>465.43299999999999</v>
      </c>
      <c r="T126" s="31">
        <v>478.51000000000022</v>
      </c>
      <c r="U126" s="31">
        <v>653.39400000000001</v>
      </c>
      <c r="V126" s="31">
        <v>843.16099999999994</v>
      </c>
      <c r="W126" s="31">
        <v>1049.8689999999999</v>
      </c>
      <c r="X126" s="31">
        <v>772.25850000000003</v>
      </c>
      <c r="Y126" s="31">
        <v>772.25850000000003</v>
      </c>
      <c r="Z126" s="31">
        <v>1143.0229999999999</v>
      </c>
      <c r="AA126" s="31">
        <v>1345.8779999999999</v>
      </c>
      <c r="AB126" s="31">
        <v>1268.703</v>
      </c>
      <c r="AC126" s="31">
        <v>1913.748</v>
      </c>
      <c r="AD126" s="31">
        <v>2350.2080000000001</v>
      </c>
      <c r="AE126" s="31">
        <v>2432.6640000000002</v>
      </c>
      <c r="AF126" s="31">
        <v>2404.598</v>
      </c>
      <c r="AG126" s="31">
        <v>3298.7269999999999</v>
      </c>
      <c r="AH126" s="31">
        <v>3894.643</v>
      </c>
      <c r="AI126" s="31">
        <v>3695.0140000000001</v>
      </c>
      <c r="AJ126" s="31">
        <v>4436.7269999999999</v>
      </c>
      <c r="AK126" s="31">
        <v>6201.4290000000001</v>
      </c>
      <c r="AL126" s="31">
        <v>7200.0389999999998</v>
      </c>
      <c r="AM126" s="31">
        <v>7064.9709999999995</v>
      </c>
      <c r="AN126" s="31">
        <v>6278.143</v>
      </c>
      <c r="AO126" s="31">
        <v>8402.6280000000006</v>
      </c>
      <c r="AP126" s="31">
        <v>10180.766</v>
      </c>
      <c r="AQ126" s="31">
        <v>9613.277</v>
      </c>
      <c r="AR126" s="31">
        <v>8865.4110000000001</v>
      </c>
      <c r="AS126" s="31">
        <v>12358.74</v>
      </c>
      <c r="AT126" s="31">
        <v>15287.11</v>
      </c>
      <c r="AU126" s="31">
        <v>12776.83</v>
      </c>
      <c r="AW126" s="53"/>
      <c r="AX126" s="6"/>
      <c r="AY126" s="6"/>
      <c r="AZ126" s="6"/>
      <c r="BA126" s="2" t="s">
        <v>43</v>
      </c>
      <c r="BB126" s="36">
        <f>AS126</f>
        <v>12358.74</v>
      </c>
      <c r="BC126" s="36">
        <f>AT126</f>
        <v>15287.11</v>
      </c>
      <c r="BD126" s="36">
        <f>AU126</f>
        <v>12776.83</v>
      </c>
      <c r="BE126" s="2"/>
    </row>
    <row r="127" spans="1:57" x14ac:dyDescent="0.3">
      <c r="A127" s="25" t="s">
        <v>154</v>
      </c>
      <c r="B127" s="2" t="s">
        <v>44</v>
      </c>
      <c r="C127" s="26"/>
      <c r="D127" s="26">
        <v>1401.6100000000001</v>
      </c>
      <c r="E127" s="26">
        <v>2038.038</v>
      </c>
      <c r="F127" s="26">
        <v>4766.7710000000006</v>
      </c>
      <c r="G127" s="64">
        <v>8114.0190000000002</v>
      </c>
      <c r="H127" s="64">
        <v>14010.952000000001</v>
      </c>
      <c r="I127" s="36">
        <v>20359.514999999999</v>
      </c>
      <c r="J127" s="28">
        <v>30466.955000000002</v>
      </c>
      <c r="K127" s="36"/>
      <c r="L127" s="36"/>
      <c r="M127" s="36"/>
      <c r="N127" s="25" t="s">
        <v>154</v>
      </c>
      <c r="O127" s="2" t="s">
        <v>44</v>
      </c>
      <c r="P127" s="31"/>
      <c r="Q127" s="31"/>
      <c r="R127" s="31"/>
      <c r="S127" s="31">
        <v>170.05399999999997</v>
      </c>
      <c r="T127" s="31">
        <v>202.69800000000032</v>
      </c>
      <c r="U127" s="36">
        <v>283.03899999999999</v>
      </c>
      <c r="V127" s="36">
        <v>399.70299999999992</v>
      </c>
      <c r="W127" s="36">
        <v>516.16999999999996</v>
      </c>
      <c r="X127" s="36">
        <v>350.6875</v>
      </c>
      <c r="Y127" s="36">
        <v>350.6875</v>
      </c>
      <c r="Z127" s="36">
        <v>614.72799999999995</v>
      </c>
      <c r="AA127" s="36">
        <v>721.93499999999995</v>
      </c>
      <c r="AB127" s="36">
        <v>729.38</v>
      </c>
      <c r="AC127" s="36">
        <v>1153.4180000000001</v>
      </c>
      <c r="AD127" s="36">
        <v>1430.3220000000001</v>
      </c>
      <c r="AE127" s="36">
        <v>1453.6510000000003</v>
      </c>
      <c r="AF127" s="36">
        <v>1421.4470000000001</v>
      </c>
      <c r="AG127" s="36">
        <v>2036.7909999999999</v>
      </c>
      <c r="AH127" s="36">
        <v>2454.1689999999999</v>
      </c>
      <c r="AI127" s="36">
        <v>2201.6120000000001</v>
      </c>
      <c r="AJ127" s="36">
        <v>2682.0729999999999</v>
      </c>
      <c r="AK127" s="36">
        <v>3739.924</v>
      </c>
      <c r="AL127" s="36">
        <v>4033.4689999999996</v>
      </c>
      <c r="AM127" s="36">
        <v>4555.485999999999</v>
      </c>
      <c r="AN127" s="36">
        <v>3333.7130000000002</v>
      </c>
      <c r="AO127" s="36">
        <v>5034.3910000000005</v>
      </c>
      <c r="AP127" s="36">
        <v>6225.3269999999993</v>
      </c>
      <c r="AQ127" s="36">
        <v>5766.0839999999998</v>
      </c>
      <c r="AR127" s="36">
        <v>5292.415</v>
      </c>
      <c r="AS127" s="36">
        <v>7758.29</v>
      </c>
      <c r="AT127" s="36">
        <v>9747.19</v>
      </c>
      <c r="AU127" s="36">
        <v>7669.06</v>
      </c>
      <c r="AW127" s="53"/>
      <c r="AX127" s="6"/>
      <c r="AY127" s="6"/>
      <c r="AZ127" s="6"/>
      <c r="BA127" s="2" t="s">
        <v>113</v>
      </c>
      <c r="BB127" s="35">
        <f t="shared" ref="BB127:BD128" si="61">AS141</f>
        <v>9491.5</v>
      </c>
      <c r="BC127" s="35">
        <f t="shared" si="61"/>
        <v>10332</v>
      </c>
      <c r="BD127" s="35">
        <f t="shared" si="61"/>
        <v>9930.1209999999992</v>
      </c>
      <c r="BE127" s="2"/>
    </row>
    <row r="128" spans="1:57" x14ac:dyDescent="0.3">
      <c r="A128" s="25" t="s">
        <v>154</v>
      </c>
      <c r="B128" s="2" t="s">
        <v>46</v>
      </c>
      <c r="C128" s="36"/>
      <c r="D128" s="36">
        <v>-3212.1149999999998</v>
      </c>
      <c r="E128" s="36">
        <v>-2587.268</v>
      </c>
      <c r="F128" s="36">
        <v>-539.05399999999997</v>
      </c>
      <c r="G128" s="36">
        <v>1156.1790000000001</v>
      </c>
      <c r="H128" s="36">
        <v>3025.6179999999999</v>
      </c>
      <c r="I128" s="40">
        <v>3538.0610000000001</v>
      </c>
      <c r="J128" s="28">
        <v>5043.3779999999997</v>
      </c>
      <c r="K128" s="36"/>
      <c r="L128" s="36"/>
      <c r="M128" s="36"/>
      <c r="N128" s="25" t="s">
        <v>154</v>
      </c>
      <c r="O128" s="2" t="s">
        <v>46</v>
      </c>
      <c r="P128" s="31"/>
      <c r="Q128" s="31"/>
      <c r="R128" s="31"/>
      <c r="S128" s="31">
        <v>-643.99900000000002</v>
      </c>
      <c r="T128" s="31">
        <v>-527.09099999999989</v>
      </c>
      <c r="U128" s="31">
        <v>-765.68600000000004</v>
      </c>
      <c r="V128" s="31">
        <v>-782.03</v>
      </c>
      <c r="W128" s="31">
        <v>-1137.308</v>
      </c>
      <c r="X128" s="31">
        <v>-817.92750000000001</v>
      </c>
      <c r="Y128" s="31">
        <v>-817.92750000000001</v>
      </c>
      <c r="Z128" s="31">
        <v>-462.49200000000002</v>
      </c>
      <c r="AA128" s="31">
        <v>-488.92099999999999</v>
      </c>
      <c r="AB128" s="31">
        <v>-364.04300000000001</v>
      </c>
      <c r="AC128" s="31">
        <v>-47.502000000000002</v>
      </c>
      <c r="AD128" s="31">
        <v>-6.7320000000000002</v>
      </c>
      <c r="AE128" s="31">
        <v>-120.777</v>
      </c>
      <c r="AF128" s="31">
        <v>16.062000000000001</v>
      </c>
      <c r="AG128" s="31">
        <v>241.62299999999999</v>
      </c>
      <c r="AH128" s="31">
        <v>585.26400000000001</v>
      </c>
      <c r="AI128" s="31">
        <v>313.23</v>
      </c>
      <c r="AJ128" s="31">
        <v>678.36500000000001</v>
      </c>
      <c r="AK128" s="31">
        <v>1172.816</v>
      </c>
      <c r="AL128" s="31">
        <v>961.72400000000005</v>
      </c>
      <c r="AM128" s="31">
        <v>212.71299999999999</v>
      </c>
      <c r="AN128" s="31">
        <v>-65.106999999999999</v>
      </c>
      <c r="AO128" s="31">
        <v>1050.682</v>
      </c>
      <c r="AP128" s="31">
        <v>1557.472</v>
      </c>
      <c r="AQ128" s="31">
        <v>995.01400000000001</v>
      </c>
      <c r="AR128" s="31">
        <v>737.16800000000001</v>
      </c>
      <c r="AS128" s="31">
        <v>1701.53</v>
      </c>
      <c r="AT128" s="31">
        <v>1778.84</v>
      </c>
      <c r="AU128" s="31">
        <v>825.84</v>
      </c>
      <c r="AW128" s="53"/>
      <c r="AX128" s="6"/>
      <c r="AY128" s="6"/>
      <c r="AZ128" s="6"/>
      <c r="BA128" s="2" t="s">
        <v>155</v>
      </c>
      <c r="BB128" s="35">
        <f t="shared" si="61"/>
        <v>2867.3</v>
      </c>
      <c r="BC128" s="35">
        <f t="shared" si="61"/>
        <v>4955</v>
      </c>
      <c r="BD128" s="35">
        <f t="shared" si="61"/>
        <v>2846.712</v>
      </c>
      <c r="BE128" s="2"/>
    </row>
    <row r="129" spans="1:57" x14ac:dyDescent="0.3">
      <c r="A129" s="25" t="s">
        <v>154</v>
      </c>
      <c r="B129" s="2" t="s">
        <v>48</v>
      </c>
      <c r="C129" s="36"/>
      <c r="D129" s="36">
        <v>-3712.596</v>
      </c>
      <c r="E129" s="36">
        <v>-5589.1049999999996</v>
      </c>
      <c r="F129" s="36">
        <v>578.65300000000002</v>
      </c>
      <c r="G129" s="36">
        <v>488.24599999999998</v>
      </c>
      <c r="H129" s="36">
        <v>2847.933</v>
      </c>
      <c r="I129" s="40">
        <v>2931.703</v>
      </c>
      <c r="J129" s="28">
        <v>3572.1079999999997</v>
      </c>
      <c r="K129" s="36"/>
      <c r="L129" s="36"/>
      <c r="M129" s="36"/>
      <c r="N129" s="25" t="s">
        <v>154</v>
      </c>
      <c r="O129" s="2" t="s">
        <v>48</v>
      </c>
      <c r="P129" s="31"/>
      <c r="Q129" s="31"/>
      <c r="R129" s="31"/>
      <c r="S129" s="31">
        <v>-1446.1890000000001</v>
      </c>
      <c r="T129" s="31">
        <v>-1105.9470000000001</v>
      </c>
      <c r="U129" s="31">
        <v>-757.25900000000001</v>
      </c>
      <c r="V129" s="31">
        <v>-722.99699999999996</v>
      </c>
      <c r="W129" s="31">
        <v>-1126.393</v>
      </c>
      <c r="X129" s="31">
        <v>-777.82150000000001</v>
      </c>
      <c r="Y129" s="31">
        <v>-777.82150000000001</v>
      </c>
      <c r="Z129" s="31">
        <v>-1711.394</v>
      </c>
      <c r="AA129" s="31">
        <v>-2322.0680000000002</v>
      </c>
      <c r="AB129" s="31">
        <v>-232.58199999999999</v>
      </c>
      <c r="AC129" s="31">
        <v>21.035</v>
      </c>
      <c r="AD129" s="31">
        <v>-23.509</v>
      </c>
      <c r="AE129" s="31">
        <v>921.32600000000002</v>
      </c>
      <c r="AF129" s="31">
        <v>19.835000000000001</v>
      </c>
      <c r="AG129" s="31">
        <v>-114.70699999999999</v>
      </c>
      <c r="AH129" s="31">
        <v>528.59699999999998</v>
      </c>
      <c r="AI129" s="31">
        <v>54.521000000000001</v>
      </c>
      <c r="AJ129" s="31">
        <v>564.81700000000001</v>
      </c>
      <c r="AK129" s="31">
        <v>998.70399999999995</v>
      </c>
      <c r="AL129" s="31">
        <v>988.01099999999997</v>
      </c>
      <c r="AM129" s="31">
        <v>296.40100000000001</v>
      </c>
      <c r="AN129" s="31">
        <v>-83.174000000000007</v>
      </c>
      <c r="AO129" s="31">
        <v>871.10299999999995</v>
      </c>
      <c r="AP129" s="31">
        <v>1302.6410000000001</v>
      </c>
      <c r="AQ129" s="31">
        <v>841.13300000000004</v>
      </c>
      <c r="AR129" s="31">
        <v>525.05799999999999</v>
      </c>
      <c r="AS129" s="31">
        <v>1250.54</v>
      </c>
      <c r="AT129" s="31">
        <v>1278.32</v>
      </c>
      <c r="AU129" s="31">
        <v>518.19000000000005</v>
      </c>
      <c r="AW129" s="53"/>
      <c r="AX129" s="6"/>
      <c r="AY129" s="6"/>
      <c r="AZ129" s="6"/>
      <c r="BA129" s="2"/>
      <c r="BB129" s="2"/>
      <c r="BC129" s="2"/>
      <c r="BD129" s="2"/>
      <c r="BE129" s="2"/>
    </row>
    <row r="130" spans="1:57" x14ac:dyDescent="0.3">
      <c r="A130" s="25" t="s">
        <v>154</v>
      </c>
      <c r="B130" s="39" t="s">
        <v>50</v>
      </c>
      <c r="C130" s="51"/>
      <c r="D130" s="51">
        <v>-2376.8319999999999</v>
      </c>
      <c r="E130" s="51">
        <v>-2376.8319999999999</v>
      </c>
      <c r="F130" s="51">
        <v>123.447</v>
      </c>
      <c r="G130" s="40">
        <v>19.818000000000001</v>
      </c>
      <c r="H130" s="40">
        <v>2900.4250000000002</v>
      </c>
      <c r="I130" s="36">
        <v>4229.2719999999999</v>
      </c>
      <c r="J130" s="40">
        <v>6091.06</v>
      </c>
      <c r="K130" s="40"/>
      <c r="L130" s="36"/>
      <c r="M130" s="36"/>
      <c r="N130" s="25" t="s">
        <v>51</v>
      </c>
      <c r="O130" s="2" t="s">
        <v>52</v>
      </c>
      <c r="P130" s="41"/>
      <c r="Q130" s="41"/>
      <c r="R130" s="41"/>
      <c r="S130" s="41">
        <f>S129/S126</f>
        <v>-3.1071905086231535</v>
      </c>
      <c r="T130" s="41">
        <f>T129/T126</f>
        <v>-2.3112306952832742</v>
      </c>
      <c r="U130" s="41">
        <f>U129/U126</f>
        <v>-1.1589622800331807</v>
      </c>
      <c r="V130" s="41">
        <f>V129/V126</f>
        <v>-0.85748392062725864</v>
      </c>
      <c r="W130" s="41">
        <f>W129/W126</f>
        <v>-1.0728890937821767</v>
      </c>
      <c r="X130" s="41">
        <f t="shared" ref="X130:AU130" si="62">X129/X126</f>
        <v>-1.007203546480874</v>
      </c>
      <c r="Y130" s="41">
        <f>Y129/Y126</f>
        <v>-1.007203546480874</v>
      </c>
      <c r="Z130" s="41">
        <f t="shared" si="62"/>
        <v>-1.4972524612365632</v>
      </c>
      <c r="AA130" s="41">
        <f t="shared" si="62"/>
        <v>-1.7253183423757579</v>
      </c>
      <c r="AB130" s="41">
        <f t="shared" si="62"/>
        <v>-0.18332265313473681</v>
      </c>
      <c r="AC130" s="41">
        <f t="shared" si="62"/>
        <v>1.0991520304658711E-2</v>
      </c>
      <c r="AD130" s="41">
        <f t="shared" si="62"/>
        <v>-1.0002944420238549E-2</v>
      </c>
      <c r="AE130" s="41">
        <f t="shared" si="62"/>
        <v>0.37873130033576358</v>
      </c>
      <c r="AF130" s="41">
        <f t="shared" si="62"/>
        <v>8.2487800455627106E-3</v>
      </c>
      <c r="AG130" s="41">
        <f t="shared" si="62"/>
        <v>-3.477311096068271E-2</v>
      </c>
      <c r="AH130" s="41">
        <f t="shared" si="62"/>
        <v>0.13572412156903726</v>
      </c>
      <c r="AI130" s="41">
        <f t="shared" si="62"/>
        <v>1.4755289154520118E-2</v>
      </c>
      <c r="AJ130" s="41">
        <f t="shared" si="62"/>
        <v>0.12730488037690849</v>
      </c>
      <c r="AK130" s="41">
        <f t="shared" si="62"/>
        <v>0.16104417223836634</v>
      </c>
      <c r="AL130" s="41">
        <f t="shared" si="62"/>
        <v>0.13722300670871365</v>
      </c>
      <c r="AM130" s="41">
        <f t="shared" si="62"/>
        <v>4.195360462201473E-2</v>
      </c>
      <c r="AN130" s="41">
        <f t="shared" si="62"/>
        <v>-1.3248185012670149E-2</v>
      </c>
      <c r="AO130" s="41">
        <f t="shared" si="62"/>
        <v>0.1036703041000982</v>
      </c>
      <c r="AP130" s="41">
        <f t="shared" si="62"/>
        <v>0.12795117774045686</v>
      </c>
      <c r="AQ130" s="41">
        <f t="shared" si="62"/>
        <v>8.7497010644757248E-2</v>
      </c>
      <c r="AR130" s="41">
        <f t="shared" si="62"/>
        <v>5.9225454973266325E-2</v>
      </c>
      <c r="AS130" s="41">
        <f t="shared" si="62"/>
        <v>0.10118669055259678</v>
      </c>
      <c r="AT130" s="41">
        <f t="shared" si="62"/>
        <v>8.3620775934758099E-2</v>
      </c>
      <c r="AU130" s="41">
        <f t="shared" si="62"/>
        <v>4.0557008272004876E-2</v>
      </c>
      <c r="AW130" s="53"/>
      <c r="AX130" s="6"/>
      <c r="AY130" s="6"/>
      <c r="AZ130" s="6"/>
      <c r="BA130" s="2"/>
      <c r="BB130" s="2"/>
      <c r="BC130" s="2"/>
      <c r="BD130" s="2"/>
      <c r="BE130" s="2"/>
    </row>
    <row r="131" spans="1:57" x14ac:dyDescent="0.3">
      <c r="A131" s="25" t="s">
        <v>154</v>
      </c>
      <c r="B131" s="39" t="s">
        <v>54</v>
      </c>
      <c r="C131" s="51"/>
      <c r="D131" s="51">
        <v>-4089.165</v>
      </c>
      <c r="E131" s="51">
        <v>-4089.165</v>
      </c>
      <c r="F131" s="51">
        <v>460.447</v>
      </c>
      <c r="G131" s="40">
        <v>-769.22800000000007</v>
      </c>
      <c r="H131" s="40">
        <v>-546.67399999999998</v>
      </c>
      <c r="I131" s="36">
        <v>1019.4659999999999</v>
      </c>
      <c r="J131" s="40">
        <v>2726.0600000000004</v>
      </c>
      <c r="K131" s="40"/>
      <c r="L131" s="36"/>
      <c r="M131" s="36"/>
      <c r="N131" s="25" t="s">
        <v>51</v>
      </c>
      <c r="O131" s="2" t="s">
        <v>55</v>
      </c>
      <c r="P131" s="41"/>
      <c r="Q131" s="41"/>
      <c r="R131" s="41"/>
      <c r="S131" s="41">
        <f>S127/S126</f>
        <v>0.36536730313493021</v>
      </c>
      <c r="T131" s="41">
        <f>T127/T126</f>
        <v>0.42360243255104435</v>
      </c>
      <c r="U131" s="41">
        <f>U127/U126</f>
        <v>0.43318273507255955</v>
      </c>
      <c r="V131" s="41">
        <f>V127/V126</f>
        <v>0.47405299818184182</v>
      </c>
      <c r="W131" s="41">
        <f>W127/W126</f>
        <v>0.49165181560747101</v>
      </c>
      <c r="X131" s="41">
        <f t="shared" ref="X131:AU131" si="63">X127/X126</f>
        <v>0.45410636464344517</v>
      </c>
      <c r="Y131" s="41">
        <f t="shared" si="63"/>
        <v>0.45410636464344517</v>
      </c>
      <c r="Z131" s="41">
        <f t="shared" si="63"/>
        <v>0.53780895047606214</v>
      </c>
      <c r="AA131" s="41">
        <f t="shared" si="63"/>
        <v>0.53640448837115995</v>
      </c>
      <c r="AB131" s="41">
        <f t="shared" si="63"/>
        <v>0.57490208504275631</v>
      </c>
      <c r="AC131" s="41">
        <f t="shared" si="63"/>
        <v>0.60270108708147574</v>
      </c>
      <c r="AD131" s="41">
        <f t="shared" si="63"/>
        <v>0.60859379254942547</v>
      </c>
      <c r="AE131" s="41">
        <f t="shared" si="63"/>
        <v>0.59755519052364003</v>
      </c>
      <c r="AF131" s="41">
        <f t="shared" si="63"/>
        <v>0.59113706324300364</v>
      </c>
      <c r="AG131" s="41">
        <f t="shared" si="63"/>
        <v>0.6174475790206343</v>
      </c>
      <c r="AH131" s="41">
        <f t="shared" si="63"/>
        <v>0.63013965593252064</v>
      </c>
      <c r="AI131" s="41">
        <f t="shared" si="63"/>
        <v>0.59583319576055738</v>
      </c>
      <c r="AJ131" s="41">
        <f t="shared" si="63"/>
        <v>0.60451612190698234</v>
      </c>
      <c r="AK131" s="41">
        <f t="shared" si="63"/>
        <v>0.6030745494304619</v>
      </c>
      <c r="AL131" s="41">
        <f t="shared" si="63"/>
        <v>0.56020099335573037</v>
      </c>
      <c r="AM131" s="41">
        <f t="shared" si="63"/>
        <v>0.64479896661996194</v>
      </c>
      <c r="AN131" s="41">
        <f t="shared" si="63"/>
        <v>0.53100303704455287</v>
      </c>
      <c r="AO131" s="41">
        <f t="shared" si="63"/>
        <v>0.59914481516973028</v>
      </c>
      <c r="AP131" s="41">
        <f t="shared" si="63"/>
        <v>0.61147923447017638</v>
      </c>
      <c r="AQ131" s="41">
        <f t="shared" si="63"/>
        <v>0.59980420828402214</v>
      </c>
      <c r="AR131" s="41">
        <f t="shared" si="63"/>
        <v>0.59697345108985922</v>
      </c>
      <c r="AS131" s="41">
        <f t="shared" si="63"/>
        <v>0.62775736037816154</v>
      </c>
      <c r="AT131" s="41">
        <f t="shared" si="63"/>
        <v>0.63760841650253053</v>
      </c>
      <c r="AU131" s="41">
        <f t="shared" si="63"/>
        <v>0.6002318258910857</v>
      </c>
      <c r="AW131" s="53"/>
      <c r="AX131" s="6"/>
      <c r="AY131" s="6"/>
      <c r="AZ131" s="6"/>
      <c r="BA131" s="2"/>
      <c r="BB131" s="2"/>
      <c r="BC131" s="2"/>
      <c r="BD131" s="2"/>
      <c r="BE131" s="2"/>
    </row>
    <row r="132" spans="1:57" x14ac:dyDescent="0.3">
      <c r="A132" s="25" t="s">
        <v>51</v>
      </c>
      <c r="B132" s="2" t="s">
        <v>57</v>
      </c>
      <c r="C132" s="65"/>
      <c r="D132" s="83">
        <v>2.59813487650099</v>
      </c>
      <c r="E132" s="83">
        <v>0.33339041446854706</v>
      </c>
      <c r="F132" s="83">
        <v>0.97483201592297153</v>
      </c>
      <c r="G132" s="83">
        <v>0.66885661761613424</v>
      </c>
      <c r="H132" s="83">
        <v>0.87340703538152697</v>
      </c>
      <c r="I132" s="83">
        <v>0.38435466398127838</v>
      </c>
      <c r="J132" s="46">
        <v>42.968402962232091</v>
      </c>
      <c r="K132" s="45"/>
      <c r="L132" s="45"/>
      <c r="M132" s="45"/>
      <c r="N132" s="2"/>
      <c r="O132" s="50"/>
      <c r="P132" s="2"/>
      <c r="Q132" s="41"/>
      <c r="R132" s="41"/>
      <c r="S132" s="41"/>
      <c r="T132" s="41"/>
      <c r="U132" s="41"/>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W132" s="53"/>
      <c r="AX132" s="6"/>
      <c r="AY132" s="6"/>
      <c r="AZ132" s="6"/>
      <c r="BA132" s="2"/>
      <c r="BB132" s="2"/>
      <c r="BC132" s="2"/>
      <c r="BD132" s="2"/>
      <c r="BE132" s="2"/>
    </row>
    <row r="133" spans="1:57" x14ac:dyDescent="0.3">
      <c r="A133" s="25" t="s">
        <v>51</v>
      </c>
      <c r="B133" s="2" t="s">
        <v>59</v>
      </c>
      <c r="C133" s="65"/>
      <c r="D133" s="83">
        <v>-1.0100769333782225</v>
      </c>
      <c r="E133" s="83">
        <v>0.19452821583287017</v>
      </c>
      <c r="F133" s="83">
        <v>0.79165127076128172</v>
      </c>
      <c r="G133" s="83">
        <v>3.1448296460094913</v>
      </c>
      <c r="H133" s="83">
        <v>1.6169113952078351</v>
      </c>
      <c r="I133" s="83">
        <v>0.16936804315680307</v>
      </c>
      <c r="J133" s="46">
        <v>42.546383456927387</v>
      </c>
      <c r="K133" s="45"/>
      <c r="L133" s="45"/>
      <c r="M133" s="45"/>
      <c r="N133" s="2"/>
      <c r="O133" s="50"/>
      <c r="P133" s="2"/>
      <c r="Q133" s="41"/>
      <c r="R133" s="41"/>
      <c r="S133" s="41"/>
      <c r="T133" s="41"/>
      <c r="U133" s="41"/>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W133" s="53"/>
      <c r="AX133" s="6"/>
      <c r="AY133" s="6"/>
      <c r="AZ133" s="6"/>
      <c r="BA133" s="2"/>
      <c r="BB133" s="2"/>
      <c r="BC133" s="2"/>
      <c r="BD133" s="2"/>
      <c r="BE133" s="2"/>
    </row>
    <row r="134" spans="1:57" x14ac:dyDescent="0.3">
      <c r="A134" s="25" t="s">
        <v>51</v>
      </c>
      <c r="B134" s="2" t="s">
        <v>61</v>
      </c>
      <c r="C134" s="65"/>
      <c r="D134" s="83">
        <v>-0.16370135540667535</v>
      </c>
      <c r="E134" s="83">
        <v>-0.50544389963249425</v>
      </c>
      <c r="F134" s="83">
        <v>1.1035323186807191</v>
      </c>
      <c r="G134" s="83">
        <v>-0.15623698485966553</v>
      </c>
      <c r="H134" s="83">
        <v>4.8329878790609655</v>
      </c>
      <c r="I134" s="83">
        <v>2.9414315575541975E-2</v>
      </c>
      <c r="J134" s="46">
        <v>21.844129504250592</v>
      </c>
      <c r="K134" s="45"/>
      <c r="L134" s="45"/>
      <c r="M134" s="45"/>
      <c r="N134" s="2"/>
      <c r="O134" s="50"/>
      <c r="P134" s="2"/>
      <c r="Q134" s="41"/>
      <c r="R134" s="41"/>
      <c r="S134" s="41"/>
      <c r="T134" s="41"/>
      <c r="U134" s="41"/>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W134" s="53"/>
      <c r="AX134" s="6"/>
      <c r="AY134" s="6"/>
      <c r="AZ134" s="6"/>
      <c r="BA134" s="2"/>
      <c r="BB134" s="2"/>
      <c r="BC134" s="2"/>
      <c r="BD134" s="2"/>
      <c r="BE134" s="2"/>
    </row>
    <row r="135" spans="1:57" x14ac:dyDescent="0.3">
      <c r="A135" s="25" t="s">
        <v>63</v>
      </c>
      <c r="B135" s="2" t="s">
        <v>64</v>
      </c>
      <c r="C135" s="44"/>
      <c r="D135" s="83">
        <v>-1.2273312409460835</v>
      </c>
      <c r="E135" s="83">
        <v>-1.385699424160848</v>
      </c>
      <c r="F135" s="83">
        <v>7.2646520423591113E-2</v>
      </c>
      <c r="G135" s="83">
        <v>3.6729606645070308E-2</v>
      </c>
      <c r="H135" s="83">
        <v>0.11436027852844091</v>
      </c>
      <c r="I135" s="83">
        <v>8.5038979470636156E-2</v>
      </c>
      <c r="J135" s="46">
        <v>7.2474058693001515</v>
      </c>
      <c r="K135" s="45"/>
      <c r="L135" s="45"/>
      <c r="M135" s="45"/>
      <c r="N135" s="2"/>
      <c r="O135" s="50"/>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W135" s="53"/>
      <c r="AX135" s="6"/>
      <c r="AY135" s="6"/>
      <c r="AZ135" s="6"/>
      <c r="BA135" s="2"/>
      <c r="BB135" s="2"/>
      <c r="BC135" s="2"/>
      <c r="BD135" s="2"/>
      <c r="BE135" s="2"/>
    </row>
    <row r="136" spans="1:57" x14ac:dyDescent="0.3">
      <c r="A136" s="25" t="s">
        <v>63</v>
      </c>
      <c r="B136" s="2" t="s">
        <v>66</v>
      </c>
      <c r="C136" s="65"/>
      <c r="D136" s="83">
        <v>0.46335225826414728</v>
      </c>
      <c r="E136" s="83">
        <v>0.50528807081239779</v>
      </c>
      <c r="F136" s="83">
        <v>0.59844038967409108</v>
      </c>
      <c r="G136" s="83">
        <v>0.61039870512124372</v>
      </c>
      <c r="H136" s="83">
        <v>0.56261729934258164</v>
      </c>
      <c r="I136" s="83">
        <v>0.5905619969407232</v>
      </c>
      <c r="J136" s="46">
        <v>61.814029275347671</v>
      </c>
      <c r="K136" s="45"/>
      <c r="L136" s="45"/>
      <c r="M136" s="45"/>
      <c r="N136" s="2"/>
      <c r="O136" s="50"/>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W136" s="53"/>
      <c r="AX136" s="6"/>
      <c r="AY136" s="6"/>
      <c r="AZ136" s="6"/>
      <c r="BA136" s="2"/>
      <c r="BB136" s="2"/>
      <c r="BC136" s="2"/>
      <c r="BD136" s="2"/>
      <c r="BE136" s="2"/>
    </row>
    <row r="137" spans="1:57" x14ac:dyDescent="0.3">
      <c r="A137" s="25"/>
      <c r="B137" s="2" t="s">
        <v>74</v>
      </c>
      <c r="C137" s="51"/>
      <c r="D137" s="30">
        <v>30121</v>
      </c>
      <c r="E137" s="30">
        <v>21308</v>
      </c>
      <c r="F137" s="27">
        <v>26966</v>
      </c>
      <c r="G137" s="27">
        <v>33604</v>
      </c>
      <c r="H137" s="27">
        <v>74590</v>
      </c>
      <c r="I137" s="27">
        <v>84191</v>
      </c>
      <c r="J137" s="27">
        <v>58993</v>
      </c>
      <c r="K137" s="2"/>
      <c r="L137" s="2"/>
      <c r="M137" s="2"/>
      <c r="N137" s="4"/>
      <c r="O137" s="2"/>
      <c r="P137" s="41"/>
      <c r="Q137" s="41"/>
      <c r="R137" s="41"/>
      <c r="S137" s="41"/>
      <c r="T137" s="41"/>
      <c r="U137" s="41"/>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W137" s="53"/>
    </row>
    <row r="138" spans="1:57" x14ac:dyDescent="0.3">
      <c r="A138"/>
      <c r="B138"/>
      <c r="C138"/>
      <c r="D138"/>
      <c r="E138"/>
      <c r="F138"/>
      <c r="G138"/>
      <c r="H138"/>
      <c r="I138"/>
      <c r="J138"/>
      <c r="K138"/>
      <c r="L138"/>
      <c r="M138"/>
      <c r="N138"/>
      <c r="O138"/>
      <c r="P138" s="31"/>
      <c r="Q138" s="31"/>
      <c r="R138" s="31"/>
      <c r="S138" s="31"/>
      <c r="T138" s="31"/>
      <c r="U138" s="31"/>
      <c r="V138" s="31"/>
      <c r="W138" s="31"/>
      <c r="X138" s="31"/>
      <c r="Y138" s="31"/>
      <c r="Z138" s="31"/>
      <c r="AA138" s="31"/>
      <c r="AB138" s="31"/>
      <c r="AC138" s="31"/>
      <c r="AD138" s="31"/>
      <c r="AE138" s="31"/>
      <c r="AF138" s="31"/>
      <c r="AG138" s="31"/>
      <c r="AH138"/>
      <c r="AI138"/>
      <c r="AJ138"/>
      <c r="AK138"/>
      <c r="AL138"/>
      <c r="AM138"/>
      <c r="AN138"/>
      <c r="AO138"/>
      <c r="AW138" s="53"/>
    </row>
    <row r="139" spans="1:57"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W139" s="53"/>
    </row>
    <row r="140" spans="1:57" x14ac:dyDescent="0.3">
      <c r="A140" s="18" t="s">
        <v>75</v>
      </c>
      <c r="B140" s="9" t="s">
        <v>82</v>
      </c>
      <c r="C140" s="9">
        <v>2018</v>
      </c>
      <c r="D140" s="9">
        <v>2019</v>
      </c>
      <c r="E140" s="9">
        <v>2020</v>
      </c>
      <c r="F140" s="10">
        <v>2021</v>
      </c>
      <c r="G140" s="11">
        <v>2022</v>
      </c>
      <c r="H140" s="12">
        <v>2023</v>
      </c>
      <c r="I140" s="13">
        <v>2024</v>
      </c>
      <c r="J140" s="14" t="s">
        <v>156</v>
      </c>
      <c r="K140" s="4"/>
      <c r="L140" s="4"/>
      <c r="M140" s="4"/>
      <c r="N140" s="18" t="s">
        <v>75</v>
      </c>
      <c r="O140" s="9" t="s">
        <v>82</v>
      </c>
      <c r="P140" s="18" t="s">
        <v>119</v>
      </c>
      <c r="Q140" s="18" t="s">
        <v>120</v>
      </c>
      <c r="R140" s="18" t="s">
        <v>11</v>
      </c>
      <c r="S140" s="19" t="s">
        <v>90</v>
      </c>
      <c r="T140" s="18" t="s">
        <v>13</v>
      </c>
      <c r="U140" s="18" t="s">
        <v>14</v>
      </c>
      <c r="V140" s="18" t="s">
        <v>91</v>
      </c>
      <c r="W140" s="19" t="s">
        <v>92</v>
      </c>
      <c r="X140" s="18" t="s">
        <v>93</v>
      </c>
      <c r="Y140" s="18" t="s">
        <v>94</v>
      </c>
      <c r="Z140" s="18" t="s">
        <v>95</v>
      </c>
      <c r="AA140" s="19" t="s">
        <v>96</v>
      </c>
      <c r="AB140" s="18" t="s">
        <v>97</v>
      </c>
      <c r="AC140" s="18" t="s">
        <v>98</v>
      </c>
      <c r="AD140" s="18" t="s">
        <v>99</v>
      </c>
      <c r="AE140" s="19" t="s">
        <v>100</v>
      </c>
      <c r="AF140" s="18" t="s">
        <v>101</v>
      </c>
      <c r="AG140" s="18" t="s">
        <v>102</v>
      </c>
      <c r="AH140" s="18" t="s">
        <v>103</v>
      </c>
      <c r="AI140" s="19" t="s">
        <v>104</v>
      </c>
      <c r="AJ140" s="18" t="s">
        <v>105</v>
      </c>
      <c r="AK140" s="18" t="s">
        <v>106</v>
      </c>
      <c r="AL140" s="18" t="s">
        <v>107</v>
      </c>
      <c r="AM140" s="19" t="s">
        <v>32</v>
      </c>
      <c r="AN140" s="18" t="s">
        <v>33</v>
      </c>
      <c r="AO140" s="18" t="s">
        <v>34</v>
      </c>
      <c r="AP140" s="18" t="s">
        <v>108</v>
      </c>
      <c r="AQ140" s="19" t="s">
        <v>109</v>
      </c>
      <c r="AR140" s="18" t="s">
        <v>110</v>
      </c>
      <c r="AS140" s="18" t="s">
        <v>111</v>
      </c>
      <c r="AT140" s="18" t="s">
        <v>121</v>
      </c>
      <c r="AU140" s="19" t="s">
        <v>112</v>
      </c>
      <c r="AW140" s="53"/>
    </row>
    <row r="141" spans="1:57" x14ac:dyDescent="0.3">
      <c r="A141" s="25" t="s">
        <v>154</v>
      </c>
      <c r="B141" s="2" t="s">
        <v>113</v>
      </c>
      <c r="C141" s="35">
        <v>840.69500000000005</v>
      </c>
      <c r="D141" s="35">
        <v>3009.59</v>
      </c>
      <c r="E141" s="35">
        <v>3716.7910000000002</v>
      </c>
      <c r="F141" s="35">
        <v>6659.2179999999998</v>
      </c>
      <c r="G141" s="35">
        <v>10223.719999999999</v>
      </c>
      <c r="H141" s="35">
        <v>18677.39</v>
      </c>
      <c r="I141" s="35">
        <v>26729.525000000001</v>
      </c>
      <c r="J141" s="35">
        <f>SUM(AQ141:AT141)</f>
        <v>34175.56</v>
      </c>
      <c r="K141" s="4"/>
      <c r="L141" s="4"/>
      <c r="M141" s="4"/>
      <c r="N141" s="25" t="s">
        <v>41</v>
      </c>
      <c r="O141" s="2" t="s">
        <v>113</v>
      </c>
      <c r="P141" s="30"/>
      <c r="Q141" s="30"/>
      <c r="R141" s="30"/>
      <c r="S141" s="30">
        <v>465.43299999999999</v>
      </c>
      <c r="T141" s="30">
        <v>478.51000000000022</v>
      </c>
      <c r="U141" s="30">
        <v>653.39400000000001</v>
      </c>
      <c r="V141" s="30">
        <v>843.16099999999994</v>
      </c>
      <c r="W141" s="30">
        <v>1034.5250000000001</v>
      </c>
      <c r="X141" s="30">
        <v>724.07899999999995</v>
      </c>
      <c r="Y141" s="30">
        <v>724.07899999999995</v>
      </c>
      <c r="Z141" s="30">
        <v>1051.5709999999999</v>
      </c>
      <c r="AA141" s="30">
        <v>1217.6199999999999</v>
      </c>
      <c r="AB141" s="30">
        <v>1106.8320000000001</v>
      </c>
      <c r="AC141" s="30">
        <v>1634.472</v>
      </c>
      <c r="AD141" s="30">
        <v>1934.087</v>
      </c>
      <c r="AE141" s="30">
        <v>1983.827</v>
      </c>
      <c r="AF141" s="30">
        <v>1855.297</v>
      </c>
      <c r="AG141" s="30">
        <v>2521.221</v>
      </c>
      <c r="AH141" s="30">
        <v>2995.5419999999999</v>
      </c>
      <c r="AI141" s="30">
        <v>2851.66</v>
      </c>
      <c r="AJ141" s="30">
        <v>3301.3110000000001</v>
      </c>
      <c r="AK141" s="30">
        <v>4715.5959999999995</v>
      </c>
      <c r="AL141" s="30">
        <v>5359.2619999999997</v>
      </c>
      <c r="AM141" s="30">
        <v>5301.2209999999995</v>
      </c>
      <c r="AN141" s="30">
        <v>4770.16</v>
      </c>
      <c r="AO141" s="30">
        <v>6552.393</v>
      </c>
      <c r="AP141" s="30">
        <v>7839.4790000000003</v>
      </c>
      <c r="AQ141" s="30">
        <v>7567.491</v>
      </c>
      <c r="AR141" s="30">
        <v>6784.5690000000004</v>
      </c>
      <c r="AS141" s="30">
        <v>9491.5</v>
      </c>
      <c r="AT141" s="30">
        <v>10332</v>
      </c>
      <c r="AU141" s="30">
        <v>9930.1209999999992</v>
      </c>
      <c r="AW141" s="53"/>
    </row>
    <row r="142" spans="1:57" x14ac:dyDescent="0.3">
      <c r="A142" s="25" t="s">
        <v>154</v>
      </c>
      <c r="B142" s="2" t="s">
        <v>157</v>
      </c>
      <c r="C142" s="35">
        <v>0</v>
      </c>
      <c r="D142" s="35">
        <v>15.343999999999999</v>
      </c>
      <c r="E142" s="35">
        <v>316.62700000000001</v>
      </c>
      <c r="F142" s="35">
        <v>1306.105</v>
      </c>
      <c r="G142" s="35">
        <v>3069.2620000000002</v>
      </c>
      <c r="H142" s="35">
        <v>6225.7759999999998</v>
      </c>
      <c r="I142" s="35">
        <v>7745.2910000000002</v>
      </c>
      <c r="J142" s="35">
        <f>SUM(AQ142:AT142)+0.1</f>
        <v>11949.028</v>
      </c>
      <c r="K142" s="4"/>
      <c r="L142" s="4"/>
      <c r="M142" s="4"/>
      <c r="N142" s="25" t="s">
        <v>41</v>
      </c>
      <c r="O142" s="2" t="s">
        <v>114</v>
      </c>
      <c r="P142" s="30"/>
      <c r="Q142" s="30"/>
      <c r="R142" s="30"/>
      <c r="S142" s="30">
        <v>0</v>
      </c>
      <c r="T142" s="30">
        <v>0</v>
      </c>
      <c r="U142" s="30">
        <v>0</v>
      </c>
      <c r="V142" s="30">
        <v>0</v>
      </c>
      <c r="W142" s="30">
        <v>15.343999999999999</v>
      </c>
      <c r="X142" s="30">
        <v>48.179499999999997</v>
      </c>
      <c r="Y142" s="30">
        <v>48.179499999999997</v>
      </c>
      <c r="Z142" s="30">
        <v>91.451999999999998</v>
      </c>
      <c r="AA142" s="30">
        <v>128.816</v>
      </c>
      <c r="AB142" s="30">
        <v>161.87100000000001</v>
      </c>
      <c r="AC142" s="30">
        <v>279.27600000000001</v>
      </c>
      <c r="AD142" s="30">
        <v>416.12099999999998</v>
      </c>
      <c r="AE142" s="30">
        <v>448.83699999999999</v>
      </c>
      <c r="AF142" s="30">
        <v>549.30100000000004</v>
      </c>
      <c r="AG142" s="30">
        <v>777.50599999999997</v>
      </c>
      <c r="AH142" s="30">
        <v>899.101</v>
      </c>
      <c r="AI142" s="30">
        <v>843.35400000000004</v>
      </c>
      <c r="AJ142" s="30">
        <v>1135.4159999999999</v>
      </c>
      <c r="AK142" s="30">
        <v>1485.8330000000001</v>
      </c>
      <c r="AL142" s="30">
        <v>1840.777</v>
      </c>
      <c r="AM142" s="30">
        <v>1763.75</v>
      </c>
      <c r="AN142" s="30">
        <v>1507.9829999999999</v>
      </c>
      <c r="AO142" s="30">
        <v>1850.2349999999999</v>
      </c>
      <c r="AP142" s="30">
        <v>2341.2869999999998</v>
      </c>
      <c r="AQ142" s="30">
        <v>2045.7860000000001</v>
      </c>
      <c r="AR142" s="30">
        <v>2080.8420000000001</v>
      </c>
      <c r="AS142" s="30">
        <v>2867.3</v>
      </c>
      <c r="AT142" s="30">
        <v>4955</v>
      </c>
      <c r="AU142" s="30">
        <v>2846.712</v>
      </c>
      <c r="AW142" s="53"/>
    </row>
    <row r="143" spans="1:57" ht="16.2" thickBot="1" x14ac:dyDescent="0.35">
      <c r="A143" s="25"/>
      <c r="B143" s="8" t="s">
        <v>78</v>
      </c>
      <c r="C143" s="55">
        <f t="shared" ref="C143:I143" si="64">SUM(C141:C142)</f>
        <v>840.69500000000005</v>
      </c>
      <c r="D143" s="55">
        <f t="shared" si="64"/>
        <v>3024.9340000000002</v>
      </c>
      <c r="E143" s="55">
        <f t="shared" si="64"/>
        <v>4033.4180000000001</v>
      </c>
      <c r="F143" s="55">
        <f t="shared" si="64"/>
        <v>7965.3230000000003</v>
      </c>
      <c r="G143" s="55">
        <f t="shared" si="64"/>
        <v>13292.982</v>
      </c>
      <c r="H143" s="55">
        <f t="shared" si="64"/>
        <v>24903.165999999997</v>
      </c>
      <c r="I143" s="55">
        <f t="shared" si="64"/>
        <v>34474.815999999999</v>
      </c>
      <c r="J143" s="55">
        <f t="shared" ref="J143" si="65">SUM(J141:J142)</f>
        <v>46124.587999999996</v>
      </c>
      <c r="K143" s="4"/>
      <c r="L143" s="4"/>
      <c r="M143" s="4"/>
      <c r="N143" s="25"/>
      <c r="O143" s="8" t="s">
        <v>78</v>
      </c>
      <c r="P143" s="55">
        <f t="shared" ref="P143:AU143" si="66">SUM(P141:P142)</f>
        <v>0</v>
      </c>
      <c r="Q143" s="55">
        <f t="shared" si="66"/>
        <v>0</v>
      </c>
      <c r="R143" s="55">
        <f t="shared" si="66"/>
        <v>0</v>
      </c>
      <c r="S143" s="55">
        <f t="shared" si="66"/>
        <v>465.43299999999999</v>
      </c>
      <c r="T143" s="55">
        <f t="shared" si="66"/>
        <v>478.51000000000022</v>
      </c>
      <c r="U143" s="55">
        <f t="shared" si="66"/>
        <v>653.39400000000001</v>
      </c>
      <c r="V143" s="55">
        <f t="shared" si="66"/>
        <v>843.16099999999994</v>
      </c>
      <c r="W143" s="55">
        <f t="shared" si="66"/>
        <v>1049.8690000000001</v>
      </c>
      <c r="X143" s="55">
        <f t="shared" si="66"/>
        <v>772.25849999999991</v>
      </c>
      <c r="Y143" s="55">
        <f t="shared" si="66"/>
        <v>772.25849999999991</v>
      </c>
      <c r="Z143" s="55">
        <f t="shared" si="66"/>
        <v>1143.0229999999999</v>
      </c>
      <c r="AA143" s="55">
        <f t="shared" si="66"/>
        <v>1346.4359999999999</v>
      </c>
      <c r="AB143" s="55">
        <f t="shared" si="66"/>
        <v>1268.7030000000002</v>
      </c>
      <c r="AC143" s="55">
        <f t="shared" si="66"/>
        <v>1913.748</v>
      </c>
      <c r="AD143" s="55">
        <f t="shared" si="66"/>
        <v>2350.2080000000001</v>
      </c>
      <c r="AE143" s="55">
        <f t="shared" si="66"/>
        <v>2432.6639999999998</v>
      </c>
      <c r="AF143" s="55">
        <f t="shared" si="66"/>
        <v>2404.598</v>
      </c>
      <c r="AG143" s="55">
        <f t="shared" si="66"/>
        <v>3298.7269999999999</v>
      </c>
      <c r="AH143" s="55">
        <f t="shared" si="66"/>
        <v>3894.643</v>
      </c>
      <c r="AI143" s="55">
        <f t="shared" si="66"/>
        <v>3695.0140000000001</v>
      </c>
      <c r="AJ143" s="55">
        <f t="shared" si="66"/>
        <v>4436.7269999999999</v>
      </c>
      <c r="AK143" s="55">
        <f t="shared" si="66"/>
        <v>6201.4290000000001</v>
      </c>
      <c r="AL143" s="55">
        <f t="shared" si="66"/>
        <v>7200.0389999999998</v>
      </c>
      <c r="AM143" s="55">
        <f t="shared" si="66"/>
        <v>7064.9709999999995</v>
      </c>
      <c r="AN143" s="55">
        <f t="shared" si="66"/>
        <v>6278.143</v>
      </c>
      <c r="AO143" s="55">
        <f t="shared" si="66"/>
        <v>8402.6280000000006</v>
      </c>
      <c r="AP143" s="55">
        <f t="shared" si="66"/>
        <v>10180.766</v>
      </c>
      <c r="AQ143" s="55">
        <f t="shared" si="66"/>
        <v>9613.277</v>
      </c>
      <c r="AR143" s="55">
        <f t="shared" si="66"/>
        <v>8865.4110000000001</v>
      </c>
      <c r="AS143" s="55">
        <f t="shared" si="66"/>
        <v>12358.8</v>
      </c>
      <c r="AT143" s="55">
        <f t="shared" si="66"/>
        <v>15287</v>
      </c>
      <c r="AU143" s="55">
        <f t="shared" si="66"/>
        <v>12776.832999999999</v>
      </c>
      <c r="AW143" s="53"/>
    </row>
    <row r="144" spans="1:57" ht="16.2" thickTop="1" x14ac:dyDescent="0.3">
      <c r="A144" s="4"/>
      <c r="B144" s="4"/>
      <c r="C144" s="4"/>
      <c r="D144" s="4"/>
      <c r="E144" s="4"/>
      <c r="F144" s="4"/>
      <c r="G144" s="4"/>
      <c r="H144" s="4"/>
      <c r="I144"/>
      <c r="J144" s="4"/>
      <c r="K144" s="4"/>
      <c r="L144" s="4"/>
      <c r="M144" s="4"/>
      <c r="N144" s="4"/>
      <c r="O144" s="4"/>
      <c r="P144" s="30"/>
      <c r="Q144" s="30"/>
      <c r="R144" s="30"/>
      <c r="S144" s="30"/>
      <c r="T144" s="30"/>
      <c r="U144" s="30"/>
      <c r="V144" s="30"/>
      <c r="W144" s="30"/>
      <c r="X144" s="30"/>
      <c r="Y144" s="30"/>
      <c r="Z144" s="30"/>
      <c r="AA144" s="30"/>
      <c r="AB144" s="30"/>
      <c r="AC144" s="30"/>
      <c r="AD144" s="30"/>
      <c r="AE144" s="30"/>
      <c r="AF144" s="30"/>
      <c r="AG144" s="30"/>
      <c r="AH144" s="30"/>
      <c r="AI144"/>
      <c r="AJ144" s="30"/>
      <c r="AK144" s="30"/>
      <c r="AL144" s="30"/>
      <c r="AM144"/>
      <c r="AN144"/>
      <c r="AO144" s="30"/>
      <c r="AW144" s="53"/>
    </row>
    <row r="145" spans="1:71" s="2" customFormat="1" ht="18" customHeight="1" x14ac:dyDescent="0.3">
      <c r="A145" s="8" t="s">
        <v>158</v>
      </c>
      <c r="C145" s="9">
        <v>2018</v>
      </c>
      <c r="D145" s="9">
        <v>2019</v>
      </c>
      <c r="E145" s="9">
        <v>2020</v>
      </c>
      <c r="F145" s="73">
        <v>2021</v>
      </c>
      <c r="G145" s="11">
        <v>2022</v>
      </c>
      <c r="H145" s="12">
        <v>2023</v>
      </c>
      <c r="I145" s="13">
        <v>2024</v>
      </c>
      <c r="J145" s="14">
        <v>2025</v>
      </c>
      <c r="K145" s="16" t="s">
        <v>89</v>
      </c>
      <c r="L145" s="17"/>
      <c r="M145" s="17"/>
      <c r="N145" s="8" t="s">
        <v>158</v>
      </c>
      <c r="P145" s="18" t="s">
        <v>119</v>
      </c>
      <c r="Q145" s="18" t="s">
        <v>120</v>
      </c>
      <c r="R145" s="18" t="s">
        <v>11</v>
      </c>
      <c r="S145" s="19" t="s">
        <v>90</v>
      </c>
      <c r="T145" s="18" t="s">
        <v>13</v>
      </c>
      <c r="U145" s="18" t="s">
        <v>14</v>
      </c>
      <c r="V145" s="18" t="s">
        <v>91</v>
      </c>
      <c r="W145" s="19" t="s">
        <v>92</v>
      </c>
      <c r="X145" s="18" t="s">
        <v>93</v>
      </c>
      <c r="Y145" s="18" t="s">
        <v>94</v>
      </c>
      <c r="Z145" s="18" t="s">
        <v>95</v>
      </c>
      <c r="AA145" s="19" t="s">
        <v>96</v>
      </c>
      <c r="AB145" s="18" t="s">
        <v>97</v>
      </c>
      <c r="AC145" s="18" t="s">
        <v>98</v>
      </c>
      <c r="AD145" s="18" t="s">
        <v>99</v>
      </c>
      <c r="AE145" s="19" t="s">
        <v>100</v>
      </c>
      <c r="AF145" s="18" t="s">
        <v>101</v>
      </c>
      <c r="AG145" s="18" t="s">
        <v>102</v>
      </c>
      <c r="AH145" s="18" t="s">
        <v>103</v>
      </c>
      <c r="AI145" s="19" t="s">
        <v>104</v>
      </c>
      <c r="AJ145" s="18" t="s">
        <v>105</v>
      </c>
      <c r="AK145" s="18" t="s">
        <v>106</v>
      </c>
      <c r="AL145" s="18" t="s">
        <v>107</v>
      </c>
      <c r="AM145" s="19" t="s">
        <v>32</v>
      </c>
      <c r="AN145" s="18" t="s">
        <v>33</v>
      </c>
      <c r="AO145" s="18" t="s">
        <v>34</v>
      </c>
      <c r="AP145" s="18" t="s">
        <v>108</v>
      </c>
      <c r="AQ145" s="19" t="s">
        <v>109</v>
      </c>
      <c r="AR145" s="18" t="s">
        <v>110</v>
      </c>
      <c r="AS145" s="18" t="s">
        <v>111</v>
      </c>
      <c r="AT145" s="18" t="s">
        <v>121</v>
      </c>
      <c r="AU145" s="19" t="s">
        <v>112</v>
      </c>
      <c r="BA145" s="79"/>
      <c r="BB145" s="18" t="s">
        <v>111</v>
      </c>
      <c r="BC145" s="18" t="s">
        <v>121</v>
      </c>
      <c r="BD145" s="19" t="s">
        <v>112</v>
      </c>
      <c r="BE145" s="22"/>
    </row>
    <row r="146" spans="1:71" s="2" customFormat="1" ht="18" customHeight="1" x14ac:dyDescent="0.3">
      <c r="A146" s="25" t="s">
        <v>41</v>
      </c>
      <c r="B146" s="2" t="s">
        <v>42</v>
      </c>
      <c r="C146" s="31">
        <v>5688</v>
      </c>
      <c r="D146" s="31">
        <v>5597</v>
      </c>
      <c r="E146" s="31">
        <v>5652</v>
      </c>
      <c r="F146" s="27">
        <v>6584</v>
      </c>
      <c r="G146" s="64">
        <v>6842</v>
      </c>
      <c r="H146" s="36">
        <v>7076</v>
      </c>
      <c r="I146" s="36">
        <v>7549</v>
      </c>
      <c r="J146" s="40">
        <v>8214</v>
      </c>
      <c r="K146" s="27"/>
      <c r="L146" s="27"/>
      <c r="M146" s="27"/>
      <c r="N146" s="25" t="s">
        <v>41</v>
      </c>
      <c r="O146" s="2" t="s">
        <v>42</v>
      </c>
      <c r="P146" s="74">
        <v>1371</v>
      </c>
      <c r="Q146" s="74">
        <v>1368</v>
      </c>
      <c r="R146" s="74">
        <v>1391</v>
      </c>
      <c r="S146" s="31">
        <f>C146-SUM(P146:R146)</f>
        <v>1558</v>
      </c>
      <c r="T146" s="31">
        <v>1254</v>
      </c>
      <c r="U146" s="31">
        <v>1310</v>
      </c>
      <c r="V146" s="31">
        <v>1339</v>
      </c>
      <c r="W146" s="31">
        <f>D146-SUM(T146:V146)</f>
        <v>1694</v>
      </c>
      <c r="X146" s="31">
        <v>1263</v>
      </c>
      <c r="Y146" s="31">
        <v>1198</v>
      </c>
      <c r="Z146" s="31">
        <v>1448</v>
      </c>
      <c r="AA146" s="31">
        <f>E146-SUM(X146:Z146)</f>
        <v>1743</v>
      </c>
      <c r="AB146" s="31">
        <v>1486</v>
      </c>
      <c r="AC146" s="31">
        <v>1602</v>
      </c>
      <c r="AD146" s="31">
        <v>1606</v>
      </c>
      <c r="AE146" s="31">
        <f>F146-SUM(AB146:AD146)</f>
        <v>1890</v>
      </c>
      <c r="AF146" s="31">
        <v>1547</v>
      </c>
      <c r="AG146" s="31">
        <v>1636</v>
      </c>
      <c r="AH146" s="31">
        <v>1640</v>
      </c>
      <c r="AI146" s="31">
        <f>G146-SUM(AF146:AH146)</f>
        <v>2019</v>
      </c>
      <c r="AJ146" s="31">
        <v>1645</v>
      </c>
      <c r="AK146" s="31">
        <v>1687</v>
      </c>
      <c r="AL146" s="31">
        <v>1708</v>
      </c>
      <c r="AM146" s="31">
        <f>H146-SUM(AJ146:AL146)</f>
        <v>2036</v>
      </c>
      <c r="AN146" s="31">
        <v>1598</v>
      </c>
      <c r="AO146" s="31">
        <v>1763</v>
      </c>
      <c r="AP146" s="31">
        <v>1826</v>
      </c>
      <c r="AQ146" s="31">
        <v>2362</v>
      </c>
      <c r="AR146" s="31">
        <v>1787</v>
      </c>
      <c r="AS146" s="31">
        <v>1933</v>
      </c>
      <c r="AT146" s="31">
        <v>1979</v>
      </c>
      <c r="AU146" s="31">
        <v>2515</v>
      </c>
      <c r="AW146" s="2" t="s">
        <v>42</v>
      </c>
      <c r="AX146" s="33" t="s">
        <v>41</v>
      </c>
      <c r="BA146" s="2" t="s">
        <v>43</v>
      </c>
      <c r="BB146" s="36">
        <f>AS146</f>
        <v>1933</v>
      </c>
      <c r="BC146" s="36">
        <f>AT146</f>
        <v>1979</v>
      </c>
      <c r="BD146" s="36">
        <f>AU146</f>
        <v>2515</v>
      </c>
      <c r="BE146" s="22"/>
    </row>
    <row r="147" spans="1:71" s="2" customFormat="1" ht="18" customHeight="1" x14ac:dyDescent="0.3">
      <c r="A147" s="25" t="s">
        <v>41</v>
      </c>
      <c r="B147" s="2" t="s">
        <v>44</v>
      </c>
      <c r="C147" s="30">
        <f>C146-1634-1208-188</f>
        <v>2658</v>
      </c>
      <c r="D147" s="30">
        <f>D146-1235-1368-180</f>
        <v>2814</v>
      </c>
      <c r="E147" s="30">
        <v>2687</v>
      </c>
      <c r="F147" s="27">
        <v>3165</v>
      </c>
      <c r="G147" s="64">
        <v>3313</v>
      </c>
      <c r="H147" s="64">
        <v>3497</v>
      </c>
      <c r="I147" s="36">
        <v>3584</v>
      </c>
      <c r="J147" s="40">
        <v>3792</v>
      </c>
      <c r="K147" s="27"/>
      <c r="L147" s="27"/>
      <c r="M147" s="27"/>
      <c r="N147" s="25" t="s">
        <v>41</v>
      </c>
      <c r="O147" s="2" t="s">
        <v>44</v>
      </c>
      <c r="P147" s="31">
        <f>P146-438-272-47</f>
        <v>614</v>
      </c>
      <c r="Q147" s="31">
        <f>Q146-421-274-40</f>
        <v>633</v>
      </c>
      <c r="R147" s="31">
        <f>R146-399-288-40</f>
        <v>664</v>
      </c>
      <c r="S147" s="31">
        <f t="shared" ref="S147:S149" si="67">C147-SUM(P147:R147)</f>
        <v>747</v>
      </c>
      <c r="T147" s="36">
        <f>T146-272-301-43</f>
        <v>638</v>
      </c>
      <c r="U147" s="36">
        <f>U146-286-315-38</f>
        <v>671</v>
      </c>
      <c r="V147" s="36">
        <f>V146-292-325-43</f>
        <v>679</v>
      </c>
      <c r="W147" s="31">
        <f t="shared" ref="W147:W149" si="68">D147-SUM(T147:V147)</f>
        <v>826</v>
      </c>
      <c r="X147" s="36">
        <f>X146-298-310-58</f>
        <v>597</v>
      </c>
      <c r="Y147" s="36">
        <f>Y146-349-264-36</f>
        <v>549</v>
      </c>
      <c r="Z147" s="36">
        <f>Z146-399-313-13</f>
        <v>723</v>
      </c>
      <c r="AA147" s="31">
        <f t="shared" ref="AA147:AA149" si="69">E147-SUM(X147:Z147)</f>
        <v>818</v>
      </c>
      <c r="AB147" s="36">
        <f>AB146-392-343-23</f>
        <v>728</v>
      </c>
      <c r="AC147" s="36">
        <f>AC146-417-372-27</f>
        <v>786</v>
      </c>
      <c r="AD147" s="36">
        <f>AD146-421-375-31</f>
        <v>779</v>
      </c>
      <c r="AE147" s="31">
        <f t="shared" ref="AE147:AE149" si="70">F147-SUM(AB147:AD147)</f>
        <v>872</v>
      </c>
      <c r="AF147" s="36">
        <f>AF146-402-361-32</f>
        <v>752</v>
      </c>
      <c r="AG147" s="36">
        <f>AG146-415-396-29</f>
        <v>796</v>
      </c>
      <c r="AH147" s="36">
        <f>AH146-402-396-28</f>
        <v>814</v>
      </c>
      <c r="AI147" s="31">
        <f t="shared" ref="AI147:AI149" si="71">G147-SUM(AF147:AH147)</f>
        <v>951</v>
      </c>
      <c r="AJ147" s="36">
        <f>AJ146-395-403-36</f>
        <v>811</v>
      </c>
      <c r="AK147" s="36">
        <f>AK146-415-388-32</f>
        <v>852</v>
      </c>
      <c r="AL147" s="36">
        <f>AL146-421-400-27</f>
        <v>860</v>
      </c>
      <c r="AM147" s="31">
        <f t="shared" ref="AM147:AM149" si="72">H147-SUM(AJ147:AL147)</f>
        <v>974</v>
      </c>
      <c r="AN147" s="36">
        <v>800</v>
      </c>
      <c r="AO147" s="36">
        <v>869</v>
      </c>
      <c r="AP147" s="36">
        <v>866</v>
      </c>
      <c r="AQ147" s="36">
        <v>1049</v>
      </c>
      <c r="AR147" s="36">
        <v>837</v>
      </c>
      <c r="AS147" s="36">
        <v>906</v>
      </c>
      <c r="AT147" s="36">
        <v>930</v>
      </c>
      <c r="AU147" s="36">
        <v>1119</v>
      </c>
      <c r="AW147" s="2" t="s">
        <v>44</v>
      </c>
      <c r="AX147" s="33" t="s">
        <v>41</v>
      </c>
      <c r="BA147" s="2" t="s">
        <v>159</v>
      </c>
      <c r="BB147" s="35">
        <f>AS160</f>
        <v>849</v>
      </c>
      <c r="BC147" s="35">
        <f>AT160</f>
        <v>879</v>
      </c>
      <c r="BD147" s="35">
        <f>AU160</f>
        <v>1041</v>
      </c>
      <c r="BE147" s="22"/>
    </row>
    <row r="148" spans="1:71" s="2" customFormat="1" ht="18" customHeight="1" x14ac:dyDescent="0.3">
      <c r="A148" s="25" t="s">
        <v>41</v>
      </c>
      <c r="B148" s="2" t="s">
        <v>46</v>
      </c>
      <c r="C148" s="31">
        <v>2296</v>
      </c>
      <c r="D148" s="31">
        <v>1930</v>
      </c>
      <c r="E148" s="31">
        <v>1697</v>
      </c>
      <c r="F148" s="27">
        <v>2164</v>
      </c>
      <c r="G148" s="64">
        <v>2136</v>
      </c>
      <c r="H148" s="36">
        <v>2368</v>
      </c>
      <c r="I148" s="28">
        <v>2539</v>
      </c>
      <c r="J148" s="40">
        <v>2709</v>
      </c>
      <c r="K148" s="27"/>
      <c r="L148" s="27"/>
      <c r="M148" s="27"/>
      <c r="N148" s="25" t="s">
        <v>41</v>
      </c>
      <c r="O148" s="2" t="s">
        <v>46</v>
      </c>
      <c r="P148" s="31">
        <v>553</v>
      </c>
      <c r="Q148" s="31">
        <v>449</v>
      </c>
      <c r="R148" s="31">
        <v>553</v>
      </c>
      <c r="S148" s="31">
        <f t="shared" si="67"/>
        <v>741</v>
      </c>
      <c r="T148" s="31">
        <v>433</v>
      </c>
      <c r="U148" s="31">
        <v>471</v>
      </c>
      <c r="V148" s="31">
        <v>480</v>
      </c>
      <c r="W148" s="31">
        <f t="shared" si="68"/>
        <v>546</v>
      </c>
      <c r="X148" s="31">
        <v>250</v>
      </c>
      <c r="Y148" s="31">
        <v>300</v>
      </c>
      <c r="Z148" s="31">
        <v>471</v>
      </c>
      <c r="AA148" s="31">
        <f t="shared" si="69"/>
        <v>676</v>
      </c>
      <c r="AB148" s="31">
        <v>543</v>
      </c>
      <c r="AC148" s="31">
        <v>567</v>
      </c>
      <c r="AD148" s="31">
        <v>527</v>
      </c>
      <c r="AE148" s="31">
        <f t="shared" si="70"/>
        <v>527</v>
      </c>
      <c r="AF148" s="31">
        <v>509</v>
      </c>
      <c r="AG148" s="31">
        <v>554</v>
      </c>
      <c r="AH148" s="31">
        <v>546</v>
      </c>
      <c r="AI148" s="31">
        <f t="shared" si="71"/>
        <v>527</v>
      </c>
      <c r="AJ148" s="31">
        <v>523</v>
      </c>
      <c r="AK148" s="31">
        <v>573</v>
      </c>
      <c r="AL148" s="31">
        <v>613</v>
      </c>
      <c r="AM148" s="31">
        <f t="shared" si="72"/>
        <v>659</v>
      </c>
      <c r="AN148" s="31">
        <v>551</v>
      </c>
      <c r="AO148" s="31">
        <v>634</v>
      </c>
      <c r="AP148" s="31">
        <v>631</v>
      </c>
      <c r="AQ148" s="31">
        <v>723</v>
      </c>
      <c r="AR148" s="31">
        <v>574</v>
      </c>
      <c r="AS148" s="31">
        <v>651</v>
      </c>
      <c r="AT148" s="31">
        <v>681</v>
      </c>
      <c r="AU148" s="31">
        <v>803</v>
      </c>
      <c r="AW148" s="2" t="s">
        <v>46</v>
      </c>
      <c r="AX148" s="33" t="s">
        <v>41</v>
      </c>
      <c r="BA148" s="2" t="s">
        <v>160</v>
      </c>
      <c r="BB148" s="35">
        <f t="shared" ref="BB148:BD150" si="73">AS161</f>
        <v>711</v>
      </c>
      <c r="BC148" s="35">
        <f t="shared" si="73"/>
        <v>730</v>
      </c>
      <c r="BD148" s="35">
        <f t="shared" si="73"/>
        <v>997</v>
      </c>
      <c r="BE148" s="22"/>
    </row>
    <row r="149" spans="1:71" s="2" customFormat="1" ht="18" customHeight="1" x14ac:dyDescent="0.3">
      <c r="A149" s="25" t="s">
        <v>41</v>
      </c>
      <c r="B149" s="2" t="s">
        <v>48</v>
      </c>
      <c r="C149" s="31">
        <v>1542</v>
      </c>
      <c r="D149" s="31">
        <v>1294</v>
      </c>
      <c r="E149" s="31">
        <v>904</v>
      </c>
      <c r="F149" s="27">
        <v>1575</v>
      </c>
      <c r="G149" s="64">
        <v>1325</v>
      </c>
      <c r="H149" s="36">
        <v>1597</v>
      </c>
      <c r="I149" s="28">
        <v>1486</v>
      </c>
      <c r="J149" s="40">
        <v>1559</v>
      </c>
      <c r="K149" s="27"/>
      <c r="L149" s="27"/>
      <c r="M149" s="27"/>
      <c r="N149" s="25" t="s">
        <v>41</v>
      </c>
      <c r="O149" s="2" t="s">
        <v>48</v>
      </c>
      <c r="P149" s="31">
        <v>433</v>
      </c>
      <c r="Q149" s="31">
        <v>321</v>
      </c>
      <c r="R149" s="31">
        <v>454</v>
      </c>
      <c r="S149" s="31">
        <f t="shared" si="67"/>
        <v>334</v>
      </c>
      <c r="T149" s="31">
        <v>262</v>
      </c>
      <c r="U149" s="31">
        <v>289</v>
      </c>
      <c r="V149" s="31">
        <v>255</v>
      </c>
      <c r="W149" s="31">
        <f t="shared" si="68"/>
        <v>488</v>
      </c>
      <c r="X149" s="31">
        <v>83</v>
      </c>
      <c r="Y149" s="31">
        <v>206</v>
      </c>
      <c r="Z149" s="31">
        <v>283</v>
      </c>
      <c r="AA149" s="31">
        <f t="shared" si="69"/>
        <v>332</v>
      </c>
      <c r="AB149" s="31">
        <v>326</v>
      </c>
      <c r="AC149" s="31">
        <v>391</v>
      </c>
      <c r="AD149" s="31">
        <v>528</v>
      </c>
      <c r="AE149" s="31">
        <f t="shared" si="70"/>
        <v>330</v>
      </c>
      <c r="AF149" s="31">
        <v>398</v>
      </c>
      <c r="AG149" s="31">
        <v>224</v>
      </c>
      <c r="AH149" s="31">
        <v>331</v>
      </c>
      <c r="AI149" s="31">
        <f t="shared" si="71"/>
        <v>372</v>
      </c>
      <c r="AJ149" s="31">
        <v>300</v>
      </c>
      <c r="AK149" s="31">
        <v>418</v>
      </c>
      <c r="AL149" s="31">
        <v>416</v>
      </c>
      <c r="AM149" s="31">
        <f t="shared" si="72"/>
        <v>463</v>
      </c>
      <c r="AN149" s="31">
        <v>314</v>
      </c>
      <c r="AO149" s="31">
        <v>367</v>
      </c>
      <c r="AP149" s="31">
        <v>382</v>
      </c>
      <c r="AQ149" s="31">
        <v>423</v>
      </c>
      <c r="AR149" s="31">
        <v>253</v>
      </c>
      <c r="AS149" s="31">
        <v>374</v>
      </c>
      <c r="AT149" s="31">
        <v>397</v>
      </c>
      <c r="AU149" s="31">
        <v>535</v>
      </c>
      <c r="AW149" s="2" t="s">
        <v>48</v>
      </c>
      <c r="AX149" s="33" t="s">
        <v>41</v>
      </c>
      <c r="BA149" s="2" t="s">
        <v>161</v>
      </c>
      <c r="BB149" s="35">
        <f t="shared" si="73"/>
        <v>239</v>
      </c>
      <c r="BC149" s="35">
        <f t="shared" si="73"/>
        <v>240</v>
      </c>
      <c r="BD149" s="35">
        <f t="shared" si="73"/>
        <v>303</v>
      </c>
      <c r="BE149" s="22"/>
    </row>
    <row r="150" spans="1:71" s="2" customFormat="1" ht="18" customHeight="1" x14ac:dyDescent="0.3">
      <c r="A150" s="25" t="s">
        <v>41</v>
      </c>
      <c r="B150" s="39" t="s">
        <v>50</v>
      </c>
      <c r="C150" s="51">
        <v>1176</v>
      </c>
      <c r="D150" s="51">
        <v>1315</v>
      </c>
      <c r="E150" s="51">
        <v>1305</v>
      </c>
      <c r="F150" s="27">
        <v>1706</v>
      </c>
      <c r="G150" s="27">
        <v>1427</v>
      </c>
      <c r="H150" s="40">
        <v>1603</v>
      </c>
      <c r="I150" s="35">
        <v>1689</v>
      </c>
      <c r="J150" s="40">
        <v>2010</v>
      </c>
      <c r="K150" s="40"/>
      <c r="L150" s="40"/>
      <c r="M150" s="40"/>
      <c r="N150" s="25" t="s">
        <v>51</v>
      </c>
      <c r="O150" s="2" t="s">
        <v>52</v>
      </c>
      <c r="P150" s="41">
        <f t="shared" ref="P150:R150" si="74">P149/P146</f>
        <v>0.31582786287381476</v>
      </c>
      <c r="Q150" s="41">
        <f t="shared" si="74"/>
        <v>0.23464912280701755</v>
      </c>
      <c r="R150" s="41">
        <f t="shared" si="74"/>
        <v>0.32638389647735444</v>
      </c>
      <c r="S150" s="41">
        <f>S149/S146</f>
        <v>0.21437740693196405</v>
      </c>
      <c r="T150" s="41">
        <f>T149/T146</f>
        <v>0.20893141945773525</v>
      </c>
      <c r="U150" s="41">
        <f>U149/U146</f>
        <v>0.22061068702290076</v>
      </c>
      <c r="V150" s="41">
        <f>V149/V146</f>
        <v>0.19044062733383121</v>
      </c>
      <c r="W150" s="41">
        <f>W149/W146</f>
        <v>0.28807556080283353</v>
      </c>
      <c r="X150" s="41">
        <f t="shared" ref="X150:AU150" si="75">X149/X146</f>
        <v>6.5716547901821062E-2</v>
      </c>
      <c r="Y150" s="41">
        <f t="shared" si="75"/>
        <v>0.17195325542570952</v>
      </c>
      <c r="Z150" s="41">
        <f t="shared" si="75"/>
        <v>0.19544198895027623</v>
      </c>
      <c r="AA150" s="41">
        <f t="shared" si="75"/>
        <v>0.19047619047619047</v>
      </c>
      <c r="AB150" s="41">
        <f t="shared" si="75"/>
        <v>0.21938088829071331</v>
      </c>
      <c r="AC150" s="41">
        <f t="shared" si="75"/>
        <v>0.24406991260923847</v>
      </c>
      <c r="AD150" s="41">
        <f t="shared" si="75"/>
        <v>0.32876712328767121</v>
      </c>
      <c r="AE150" s="41">
        <f t="shared" si="75"/>
        <v>0.17460317460317459</v>
      </c>
      <c r="AF150" s="41">
        <f t="shared" si="75"/>
        <v>0.25727213962508078</v>
      </c>
      <c r="AG150" s="41">
        <f t="shared" si="75"/>
        <v>0.13691931540342298</v>
      </c>
      <c r="AH150" s="41">
        <f t="shared" si="75"/>
        <v>0.20182926829268294</v>
      </c>
      <c r="AI150" s="41">
        <f t="shared" si="75"/>
        <v>0.18424962852897475</v>
      </c>
      <c r="AJ150" s="41">
        <f t="shared" si="75"/>
        <v>0.18237082066869301</v>
      </c>
      <c r="AK150" s="41">
        <f t="shared" si="75"/>
        <v>0.24777711914641376</v>
      </c>
      <c r="AL150" s="41">
        <f t="shared" si="75"/>
        <v>0.24355971896955503</v>
      </c>
      <c r="AM150" s="41">
        <f t="shared" si="75"/>
        <v>0.22740667976424361</v>
      </c>
      <c r="AN150" s="41">
        <f t="shared" si="75"/>
        <v>0.1964956195244055</v>
      </c>
      <c r="AO150" s="41">
        <f t="shared" si="75"/>
        <v>0.2081678956324447</v>
      </c>
      <c r="AP150" s="41">
        <f t="shared" si="75"/>
        <v>0.20920043811610076</v>
      </c>
      <c r="AQ150" s="41">
        <f t="shared" si="75"/>
        <v>0.17908552074513123</v>
      </c>
      <c r="AR150" s="41">
        <f t="shared" si="75"/>
        <v>0.14157806379406826</v>
      </c>
      <c r="AS150" s="41">
        <f t="shared" si="75"/>
        <v>0.19348163476461458</v>
      </c>
      <c r="AT150" s="41">
        <f t="shared" si="75"/>
        <v>0.20060636685194544</v>
      </c>
      <c r="AU150" s="41">
        <f t="shared" si="75"/>
        <v>0.21272365805168986</v>
      </c>
      <c r="AW150" s="2" t="s">
        <v>52</v>
      </c>
      <c r="AX150" s="33" t="s">
        <v>51</v>
      </c>
      <c r="BA150" s="2" t="s">
        <v>162</v>
      </c>
      <c r="BB150" s="35">
        <f t="shared" si="73"/>
        <v>134</v>
      </c>
      <c r="BC150" s="35">
        <f t="shared" si="73"/>
        <v>130</v>
      </c>
      <c r="BD150" s="35">
        <f t="shared" si="73"/>
        <v>174</v>
      </c>
      <c r="BE150" s="22"/>
    </row>
    <row r="151" spans="1:71" s="2" customFormat="1" ht="18" customHeight="1" x14ac:dyDescent="0.3">
      <c r="A151" s="25" t="s">
        <v>41</v>
      </c>
      <c r="B151" s="39" t="s">
        <v>54</v>
      </c>
      <c r="C151" s="51">
        <v>942</v>
      </c>
      <c r="D151" s="51">
        <v>1119</v>
      </c>
      <c r="E151" s="51">
        <v>1145</v>
      </c>
      <c r="F151" s="27">
        <v>1476</v>
      </c>
      <c r="G151" s="27">
        <v>1148</v>
      </c>
      <c r="H151" s="40">
        <v>1318</v>
      </c>
      <c r="I151" s="35">
        <v>1432</v>
      </c>
      <c r="J151" s="40">
        <v>1639</v>
      </c>
      <c r="K151" s="40"/>
      <c r="L151" s="40"/>
      <c r="M151" s="40"/>
      <c r="N151" s="25" t="s">
        <v>51</v>
      </c>
      <c r="O151" s="2" t="s">
        <v>55</v>
      </c>
      <c r="P151" s="41">
        <f t="shared" ref="P151:R151" si="76">P147/P146</f>
        <v>0.44784828592268416</v>
      </c>
      <c r="Q151" s="41">
        <f t="shared" si="76"/>
        <v>0.46271929824561403</v>
      </c>
      <c r="R151" s="41">
        <f t="shared" si="76"/>
        <v>0.47735442127965494</v>
      </c>
      <c r="S151" s="41">
        <f>S147/S146</f>
        <v>0.47946084724005134</v>
      </c>
      <c r="T151" s="41">
        <f>T147/T146</f>
        <v>0.50877192982456143</v>
      </c>
      <c r="U151" s="41">
        <f>U147/U146</f>
        <v>0.51221374045801527</v>
      </c>
      <c r="V151" s="41">
        <f>V147/V146</f>
        <v>0.50709484690067219</v>
      </c>
      <c r="W151" s="41">
        <f>W147/W146</f>
        <v>0.48760330578512395</v>
      </c>
      <c r="X151" s="41">
        <f t="shared" ref="X151:AU151" si="77">X147/X146</f>
        <v>0.47268408551068886</v>
      </c>
      <c r="Y151" s="41">
        <f t="shared" si="77"/>
        <v>0.45826377295492488</v>
      </c>
      <c r="Z151" s="41">
        <f t="shared" si="77"/>
        <v>0.49930939226519339</v>
      </c>
      <c r="AA151" s="41">
        <f t="shared" si="77"/>
        <v>0.46930579460699945</v>
      </c>
      <c r="AB151" s="41">
        <f t="shared" si="77"/>
        <v>0.48990578734858681</v>
      </c>
      <c r="AC151" s="41">
        <f t="shared" si="77"/>
        <v>0.49063670411985016</v>
      </c>
      <c r="AD151" s="41">
        <f t="shared" si="77"/>
        <v>0.48505603985056039</v>
      </c>
      <c r="AE151" s="41">
        <f t="shared" si="77"/>
        <v>0.46137566137566138</v>
      </c>
      <c r="AF151" s="41">
        <f t="shared" si="77"/>
        <v>0.48610213316095668</v>
      </c>
      <c r="AG151" s="41">
        <f t="shared" si="77"/>
        <v>0.48655256723716384</v>
      </c>
      <c r="AH151" s="41">
        <f t="shared" si="77"/>
        <v>0.49634146341463414</v>
      </c>
      <c r="AI151" s="41">
        <f t="shared" si="77"/>
        <v>0.47102526002971767</v>
      </c>
      <c r="AJ151" s="41">
        <f t="shared" si="77"/>
        <v>0.49300911854103341</v>
      </c>
      <c r="AK151" s="41">
        <f t="shared" si="77"/>
        <v>0.50503852993479548</v>
      </c>
      <c r="AL151" s="41">
        <f t="shared" si="77"/>
        <v>0.50351288056206089</v>
      </c>
      <c r="AM151" s="41">
        <f t="shared" si="77"/>
        <v>0.47838899803536344</v>
      </c>
      <c r="AN151" s="41">
        <f t="shared" si="77"/>
        <v>0.50062578222778475</v>
      </c>
      <c r="AO151" s="41">
        <f t="shared" si="77"/>
        <v>0.49290981281905843</v>
      </c>
      <c r="AP151" s="41">
        <f t="shared" si="77"/>
        <v>0.47426067907995617</v>
      </c>
      <c r="AQ151" s="41">
        <f t="shared" si="77"/>
        <v>0.44411515664690943</v>
      </c>
      <c r="AR151" s="41">
        <f t="shared" si="77"/>
        <v>0.46838276440962506</v>
      </c>
      <c r="AS151" s="41">
        <f t="shared" si="77"/>
        <v>0.4687015002586653</v>
      </c>
      <c r="AT151" s="41">
        <f t="shared" si="77"/>
        <v>0.46993431025770593</v>
      </c>
      <c r="AU151" s="41">
        <f t="shared" si="77"/>
        <v>0.44493041749502982</v>
      </c>
      <c r="AW151" s="2" t="s">
        <v>55</v>
      </c>
      <c r="AX151" s="33" t="s">
        <v>51</v>
      </c>
      <c r="BA151" s="2" t="s">
        <v>116</v>
      </c>
      <c r="BB151" s="35">
        <f>AS167</f>
        <v>1043</v>
      </c>
      <c r="BC151" s="35">
        <f>AT167</f>
        <v>1060</v>
      </c>
      <c r="BD151" s="35">
        <f>AU167</f>
        <v>1442</v>
      </c>
      <c r="BE151" s="22"/>
    </row>
    <row r="152" spans="1:71" s="2" customFormat="1" ht="18" customHeight="1" x14ac:dyDescent="0.3">
      <c r="A152" s="25" t="s">
        <v>51</v>
      </c>
      <c r="B152" s="2" t="s">
        <v>57</v>
      </c>
      <c r="C152" s="50">
        <v>-3.2323919700578427</v>
      </c>
      <c r="D152" s="50">
        <v>-1.59985935302391</v>
      </c>
      <c r="E152" s="50">
        <v>0.98266928711809898</v>
      </c>
      <c r="F152" s="50">
        <v>16.489738145789101</v>
      </c>
      <c r="G152" s="50">
        <v>3.9185905224787363</v>
      </c>
      <c r="H152" s="50">
        <v>3.4200526161940954</v>
      </c>
      <c r="I152" s="50">
        <v>6.6845675522894288</v>
      </c>
      <c r="J152" s="46">
        <v>8.8091137899059486</v>
      </c>
      <c r="K152" s="45"/>
      <c r="L152" s="45"/>
      <c r="M152" s="45"/>
      <c r="N152" s="50"/>
      <c r="O152" s="25"/>
      <c r="P152" s="41"/>
      <c r="Q152" s="41"/>
      <c r="R152" s="41"/>
      <c r="S152" s="41"/>
      <c r="T152" s="41"/>
      <c r="BA152" s="2" t="s">
        <v>163</v>
      </c>
      <c r="BB152" s="35">
        <f t="shared" ref="BB152:BD153" si="78">AS168</f>
        <v>82</v>
      </c>
      <c r="BC152" s="35">
        <f t="shared" si="78"/>
        <v>93</v>
      </c>
      <c r="BD152" s="35">
        <f t="shared" si="78"/>
        <v>82</v>
      </c>
      <c r="BE152" s="22"/>
    </row>
    <row r="153" spans="1:71" s="2" customFormat="1" ht="18" customHeight="1" x14ac:dyDescent="0.3">
      <c r="A153" s="25" t="s">
        <v>51</v>
      </c>
      <c r="B153" s="2" t="s">
        <v>59</v>
      </c>
      <c r="C153" s="50">
        <v>-16.841724013038753</v>
      </c>
      <c r="D153" s="50">
        <v>-15.940766550522648</v>
      </c>
      <c r="E153" s="50">
        <v>-12.072538860103627</v>
      </c>
      <c r="F153" s="50">
        <v>27.519151443724223</v>
      </c>
      <c r="G153" s="50">
        <v>-1.2939001848428837</v>
      </c>
      <c r="H153" s="50">
        <v>10.861423220973784</v>
      </c>
      <c r="I153" s="50">
        <v>7.2212837837837842</v>
      </c>
      <c r="J153" s="46">
        <v>6.6955494289090183</v>
      </c>
      <c r="K153" s="45"/>
      <c r="L153" s="45"/>
      <c r="M153" s="45"/>
      <c r="N153" s="50"/>
      <c r="O153" s="25"/>
      <c r="P153" s="41"/>
      <c r="Q153" s="41"/>
      <c r="R153" s="41"/>
      <c r="S153" s="41"/>
      <c r="T153" s="41"/>
      <c r="AG153" s="36"/>
      <c r="BA153" s="2" t="s">
        <v>130</v>
      </c>
      <c r="BB153" s="35">
        <f t="shared" si="78"/>
        <v>808</v>
      </c>
      <c r="BC153" s="35">
        <f t="shared" si="78"/>
        <v>826</v>
      </c>
      <c r="BD153" s="35">
        <f t="shared" si="78"/>
        <v>991</v>
      </c>
      <c r="BE153" s="22"/>
    </row>
    <row r="154" spans="1:71" s="2" customFormat="1" ht="18" customHeight="1" x14ac:dyDescent="0.3">
      <c r="A154" s="25" t="s">
        <v>51</v>
      </c>
      <c r="B154" s="2" t="s">
        <v>61</v>
      </c>
      <c r="C154" s="50">
        <v>15.074626865671641</v>
      </c>
      <c r="D154" s="50">
        <v>-16.083009079118028</v>
      </c>
      <c r="E154" s="50">
        <v>-30.139103554868623</v>
      </c>
      <c r="F154" s="50">
        <v>74.225663716814154</v>
      </c>
      <c r="G154" s="50">
        <v>-15.873015873015872</v>
      </c>
      <c r="H154" s="50">
        <v>20.528301886792452</v>
      </c>
      <c r="I154" s="50">
        <v>-6.9505322479649339</v>
      </c>
      <c r="J154" s="46">
        <v>4.9125168236877519</v>
      </c>
      <c r="K154" s="45"/>
      <c r="L154" s="45"/>
      <c r="M154" s="45"/>
      <c r="N154" s="50"/>
      <c r="O154" s="25"/>
      <c r="P154" s="41"/>
      <c r="Q154" s="41"/>
      <c r="R154" s="41"/>
      <c r="S154" s="41"/>
      <c r="T154" s="41"/>
      <c r="BA154" s="2" t="s">
        <v>131</v>
      </c>
      <c r="BB154" s="35">
        <f>AS173</f>
        <v>669</v>
      </c>
      <c r="BC154" s="35">
        <f>AT173</f>
        <v>697</v>
      </c>
      <c r="BD154" s="35">
        <f>AU173</f>
        <v>972</v>
      </c>
      <c r="BE154" s="22"/>
    </row>
    <row r="155" spans="1:71" s="2" customFormat="1" ht="18" customHeight="1" x14ac:dyDescent="0.3">
      <c r="A155" s="25" t="s">
        <v>63</v>
      </c>
      <c r="B155" s="2" t="s">
        <v>64</v>
      </c>
      <c r="C155" s="50">
        <v>27.109704641350213</v>
      </c>
      <c r="D155" s="50">
        <v>23.119528318742184</v>
      </c>
      <c r="E155" s="50">
        <v>15.994338287331919</v>
      </c>
      <c r="F155" s="50">
        <v>23.921628189550425</v>
      </c>
      <c r="G155" s="50">
        <v>19.365682548962294</v>
      </c>
      <c r="H155" s="50">
        <v>22.569248162803841</v>
      </c>
      <c r="I155" s="50">
        <v>19.684726453834944</v>
      </c>
      <c r="J155" s="46">
        <v>18.979790601412223</v>
      </c>
      <c r="K155" s="45"/>
      <c r="L155" s="45"/>
      <c r="M155" s="45"/>
      <c r="N155" s="50"/>
      <c r="T155" s="36"/>
      <c r="BA155" s="2" t="s">
        <v>132</v>
      </c>
      <c r="BB155" s="35">
        <f t="shared" ref="BB155:BD156" si="79">AS174</f>
        <v>835.3</v>
      </c>
      <c r="BC155" s="35">
        <f t="shared" si="79"/>
        <v>857</v>
      </c>
      <c r="BD155" s="35">
        <f t="shared" si="79"/>
        <v>995.69999999999982</v>
      </c>
      <c r="BE155" s="22"/>
    </row>
    <row r="156" spans="1:71" s="2" customFormat="1" ht="18" customHeight="1" x14ac:dyDescent="0.3">
      <c r="A156" s="25" t="s">
        <v>63</v>
      </c>
      <c r="B156" s="2" t="s">
        <v>66</v>
      </c>
      <c r="C156" s="50">
        <v>46.729957805907176</v>
      </c>
      <c r="D156" s="50">
        <v>50.276934071824186</v>
      </c>
      <c r="E156" s="50">
        <v>47.540693559801838</v>
      </c>
      <c r="F156" s="50">
        <v>48.071081409477522</v>
      </c>
      <c r="G156" s="50">
        <v>48.421514177141191</v>
      </c>
      <c r="H156" s="50">
        <v>49.420576596947427</v>
      </c>
      <c r="I156" s="50">
        <v>47.476486951914161</v>
      </c>
      <c r="J156" s="46">
        <v>46.165084002921844</v>
      </c>
      <c r="K156" s="45"/>
      <c r="L156" s="45"/>
      <c r="M156" s="45"/>
      <c r="N156" s="50"/>
      <c r="BA156" s="2" t="s">
        <v>133</v>
      </c>
      <c r="BB156" s="35">
        <f t="shared" si="79"/>
        <v>428.3</v>
      </c>
      <c r="BC156" s="35">
        <f t="shared" si="79"/>
        <v>425</v>
      </c>
      <c r="BD156" s="35">
        <f t="shared" si="79"/>
        <v>547.70000000000005</v>
      </c>
      <c r="BE156" s="22"/>
    </row>
    <row r="157" spans="1:71" s="4" customFormat="1" ht="18" customHeight="1" x14ac:dyDescent="0.3">
      <c r="A157" s="25"/>
      <c r="B157" s="2" t="s">
        <v>74</v>
      </c>
      <c r="C157" s="51">
        <v>34000</v>
      </c>
      <c r="D157" s="31">
        <v>34000</v>
      </c>
      <c r="E157" s="30">
        <v>15000</v>
      </c>
      <c r="F157" s="27">
        <v>36000</v>
      </c>
      <c r="G157" s="27">
        <v>36000</v>
      </c>
      <c r="H157" s="27">
        <v>35000</v>
      </c>
      <c r="I157" s="27">
        <v>40000</v>
      </c>
      <c r="J157" s="27">
        <v>40000</v>
      </c>
      <c r="K157" s="2"/>
      <c r="L157" s="2"/>
      <c r="M157" s="2"/>
      <c r="N157" s="2"/>
      <c r="O157" s="25"/>
      <c r="P157" s="24"/>
      <c r="Q157" s="24"/>
      <c r="R157" s="24"/>
      <c r="S157" s="24"/>
      <c r="T157" s="24"/>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79"/>
      <c r="BB157" s="2"/>
      <c r="BC157" s="2"/>
      <c r="BD157" s="2"/>
      <c r="BE157" s="2"/>
      <c r="BF157" s="2"/>
      <c r="BG157" s="2"/>
      <c r="BH157" s="2"/>
      <c r="BI157" s="2"/>
      <c r="BJ157" s="2"/>
      <c r="BK157" s="2"/>
      <c r="BL157" s="39"/>
      <c r="BM157" s="39"/>
      <c r="BN157" s="39"/>
      <c r="BO157" s="39"/>
      <c r="BP157" s="39"/>
      <c r="BQ157" s="39"/>
      <c r="BR157" s="39"/>
      <c r="BS157" s="39"/>
    </row>
    <row r="158" spans="1:7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U158" s="2"/>
      <c r="AW158" s="80"/>
    </row>
    <row r="159" spans="1:71" ht="18" customHeight="1" x14ac:dyDescent="0.3">
      <c r="A159" s="18" t="s">
        <v>75</v>
      </c>
      <c r="B159" s="9" t="s">
        <v>82</v>
      </c>
      <c r="C159" s="9">
        <v>2018</v>
      </c>
      <c r="D159" s="9">
        <v>2019</v>
      </c>
      <c r="E159" s="9">
        <v>2020</v>
      </c>
      <c r="F159" s="10">
        <v>2021</v>
      </c>
      <c r="G159" s="11">
        <v>2022</v>
      </c>
      <c r="H159" s="12">
        <v>2023</v>
      </c>
      <c r="I159" s="13">
        <v>2024</v>
      </c>
      <c r="J159" s="14">
        <v>2025</v>
      </c>
      <c r="K159"/>
      <c r="L159"/>
      <c r="M159"/>
      <c r="N159" s="18" t="s">
        <v>75</v>
      </c>
      <c r="O159" s="9" t="s">
        <v>82</v>
      </c>
      <c r="P159" s="18" t="s">
        <v>119</v>
      </c>
      <c r="Q159" s="18" t="s">
        <v>120</v>
      </c>
      <c r="R159" s="18" t="s">
        <v>11</v>
      </c>
      <c r="S159" s="19" t="s">
        <v>90</v>
      </c>
      <c r="T159" s="18" t="s">
        <v>13</v>
      </c>
      <c r="U159" s="18" t="s">
        <v>14</v>
      </c>
      <c r="V159" s="18" t="s">
        <v>91</v>
      </c>
      <c r="W159" s="19" t="s">
        <v>92</v>
      </c>
      <c r="X159" s="18" t="s">
        <v>93</v>
      </c>
      <c r="Y159" s="18" t="s">
        <v>94</v>
      </c>
      <c r="Z159" s="18" t="s">
        <v>95</v>
      </c>
      <c r="AA159" s="19" t="s">
        <v>96</v>
      </c>
      <c r="AB159" s="18" t="s">
        <v>97</v>
      </c>
      <c r="AC159" s="18" t="s">
        <v>98</v>
      </c>
      <c r="AD159" s="18" t="s">
        <v>99</v>
      </c>
      <c r="AE159" s="19" t="s">
        <v>100</v>
      </c>
      <c r="AF159" s="18" t="s">
        <v>101</v>
      </c>
      <c r="AG159" s="18" t="s">
        <v>102</v>
      </c>
      <c r="AH159" s="18" t="s">
        <v>103</v>
      </c>
      <c r="AI159" s="19" t="s">
        <v>104</v>
      </c>
      <c r="AJ159" s="18" t="s">
        <v>105</v>
      </c>
      <c r="AK159" s="18" t="s">
        <v>106</v>
      </c>
      <c r="AL159" s="18" t="s">
        <v>107</v>
      </c>
      <c r="AM159" s="19" t="s">
        <v>32</v>
      </c>
      <c r="AN159" s="18" t="s">
        <v>33</v>
      </c>
      <c r="AO159" s="18" t="s">
        <v>34</v>
      </c>
      <c r="AP159" s="18" t="s">
        <v>108</v>
      </c>
      <c r="AQ159" s="19" t="s">
        <v>109</v>
      </c>
      <c r="AR159" s="18" t="s">
        <v>110</v>
      </c>
      <c r="AS159" s="18" t="s">
        <v>111</v>
      </c>
      <c r="AT159" s="18" t="s">
        <v>121</v>
      </c>
      <c r="AU159" s="19" t="s">
        <v>112</v>
      </c>
      <c r="AW159" s="9" t="s">
        <v>82</v>
      </c>
      <c r="AY159" s="78"/>
    </row>
    <row r="160" spans="1:71" ht="18" customHeight="1" x14ac:dyDescent="0.3">
      <c r="A160" s="25" t="s">
        <v>41</v>
      </c>
      <c r="B160" s="2" t="s">
        <v>159</v>
      </c>
      <c r="C160" s="35">
        <v>2644</v>
      </c>
      <c r="D160" s="35">
        <v>2491</v>
      </c>
      <c r="E160" s="35">
        <v>2272</v>
      </c>
      <c r="F160" s="35">
        <v>2793</v>
      </c>
      <c r="G160" s="35">
        <v>2834</v>
      </c>
      <c r="H160" s="35">
        <v>2830</v>
      </c>
      <c r="I160" s="35">
        <v>3099</v>
      </c>
      <c r="J160" s="35">
        <v>3542</v>
      </c>
      <c r="K160"/>
      <c r="L160"/>
      <c r="M160"/>
      <c r="N160" s="25" t="s">
        <v>41</v>
      </c>
      <c r="O160" s="2" t="s">
        <v>159</v>
      </c>
      <c r="P160" s="27">
        <v>658</v>
      </c>
      <c r="Q160" s="27">
        <v>651</v>
      </c>
      <c r="R160" s="27">
        <v>649</v>
      </c>
      <c r="S160" s="27">
        <f>C160-SUM(P160:R160)</f>
        <v>686</v>
      </c>
      <c r="T160" s="27">
        <v>566</v>
      </c>
      <c r="U160" s="27">
        <v>584</v>
      </c>
      <c r="V160" s="27">
        <v>609</v>
      </c>
      <c r="W160" s="27">
        <f>D160-SUM(T160:V160)</f>
        <v>732</v>
      </c>
      <c r="X160" s="27">
        <v>566</v>
      </c>
      <c r="Y160" s="27">
        <v>409</v>
      </c>
      <c r="Z160" s="27">
        <v>586</v>
      </c>
      <c r="AA160" s="27">
        <f>E160-SUM(X160:Z160)</f>
        <v>711</v>
      </c>
      <c r="AB160" s="27">
        <v>625</v>
      </c>
      <c r="AC160" s="27">
        <v>682</v>
      </c>
      <c r="AD160" s="27">
        <v>692</v>
      </c>
      <c r="AE160" s="27">
        <f>F160-SUM(AB160:AD160)</f>
        <v>794</v>
      </c>
      <c r="AF160" s="27">
        <v>660</v>
      </c>
      <c r="AG160" s="27">
        <v>677</v>
      </c>
      <c r="AH160" s="27">
        <v>704</v>
      </c>
      <c r="AI160" s="30">
        <f>G160-SUM(AF160:AH160)</f>
        <v>793</v>
      </c>
      <c r="AJ160" s="27">
        <v>687</v>
      </c>
      <c r="AK160" s="27">
        <v>682</v>
      </c>
      <c r="AL160" s="27">
        <v>700</v>
      </c>
      <c r="AM160" s="27">
        <v>761</v>
      </c>
      <c r="AN160" s="27">
        <v>632</v>
      </c>
      <c r="AO160" s="27">
        <v>717</v>
      </c>
      <c r="AP160" s="27">
        <v>785</v>
      </c>
      <c r="AQ160" s="30">
        <v>965</v>
      </c>
      <c r="AR160" s="27">
        <v>773</v>
      </c>
      <c r="AS160" s="27">
        <v>849</v>
      </c>
      <c r="AT160" s="27">
        <v>879</v>
      </c>
      <c r="AU160" s="30">
        <v>1041</v>
      </c>
      <c r="AW160" s="2" t="s">
        <v>159</v>
      </c>
      <c r="AY160" s="78"/>
    </row>
    <row r="161" spans="1:53" ht="18" customHeight="1" x14ac:dyDescent="0.3">
      <c r="A161" s="25" t="s">
        <v>41</v>
      </c>
      <c r="B161" s="2" t="s">
        <v>160</v>
      </c>
      <c r="C161" s="35">
        <v>988</v>
      </c>
      <c r="D161" s="35">
        <v>2079</v>
      </c>
      <c r="E161" s="35">
        <v>2031</v>
      </c>
      <c r="F161" s="35">
        <v>2238</v>
      </c>
      <c r="G161" s="35">
        <v>2437</v>
      </c>
      <c r="H161" s="35">
        <v>2641</v>
      </c>
      <c r="I161" s="35">
        <v>2860</v>
      </c>
      <c r="J161" s="35">
        <v>3095</v>
      </c>
      <c r="K161"/>
      <c r="L161"/>
      <c r="M161"/>
      <c r="N161" s="25" t="s">
        <v>41</v>
      </c>
      <c r="O161" s="2" t="s">
        <v>160</v>
      </c>
      <c r="P161" s="27">
        <v>462</v>
      </c>
      <c r="Q161" s="27">
        <v>484</v>
      </c>
      <c r="R161" s="27">
        <v>513</v>
      </c>
      <c r="S161" s="27">
        <f t="shared" ref="S161:S163" si="80">C161-SUM(P161:R161)</f>
        <v>-471</v>
      </c>
      <c r="T161" s="27">
        <v>445</v>
      </c>
      <c r="U161" s="27">
        <v>480</v>
      </c>
      <c r="V161" s="27">
        <v>489</v>
      </c>
      <c r="W161" s="27">
        <f>D161-SUM(T161:V161)</f>
        <v>665</v>
      </c>
      <c r="X161" s="27">
        <v>453</v>
      </c>
      <c r="Y161" s="27">
        <v>449</v>
      </c>
      <c r="Z161" s="27">
        <v>501</v>
      </c>
      <c r="AA161" s="27">
        <f>E161-SUM(X161:Z161)</f>
        <v>628</v>
      </c>
      <c r="AB161" s="27">
        <v>488</v>
      </c>
      <c r="AC161" s="27">
        <v>532</v>
      </c>
      <c r="AD161" s="27">
        <v>534</v>
      </c>
      <c r="AE161" s="27">
        <f t="shared" ref="AE161:AE163" si="81">F161-SUM(AB161:AD161)</f>
        <v>684</v>
      </c>
      <c r="AF161" s="27">
        <v>517</v>
      </c>
      <c r="AG161" s="27">
        <v>586</v>
      </c>
      <c r="AH161" s="27">
        <v>568</v>
      </c>
      <c r="AI161" s="30">
        <f t="shared" ref="AI161:AI162" si="82">G161-SUM(AF161:AH161)</f>
        <v>766</v>
      </c>
      <c r="AJ161" s="27">
        <v>572</v>
      </c>
      <c r="AK161" s="27">
        <v>621</v>
      </c>
      <c r="AL161" s="27">
        <v>629</v>
      </c>
      <c r="AM161" s="27">
        <v>819</v>
      </c>
      <c r="AN161" s="27">
        <v>598</v>
      </c>
      <c r="AO161" s="27">
        <v>666</v>
      </c>
      <c r="AP161" s="27">
        <v>666</v>
      </c>
      <c r="AQ161" s="30">
        <v>930</v>
      </c>
      <c r="AR161" s="27">
        <v>657</v>
      </c>
      <c r="AS161" s="27">
        <v>711</v>
      </c>
      <c r="AT161" s="27">
        <v>730</v>
      </c>
      <c r="AU161" s="30">
        <v>997</v>
      </c>
      <c r="AW161" s="2" t="s">
        <v>160</v>
      </c>
      <c r="AY161" s="78"/>
    </row>
    <row r="162" spans="1:53" ht="18" customHeight="1" x14ac:dyDescent="0.3">
      <c r="A162" s="25" t="s">
        <v>41</v>
      </c>
      <c r="B162" s="2" t="s">
        <v>161</v>
      </c>
      <c r="C162" s="35">
        <v>2056</v>
      </c>
      <c r="D162" s="35">
        <v>1027</v>
      </c>
      <c r="E162" s="35">
        <v>1002</v>
      </c>
      <c r="F162" s="35">
        <v>1028</v>
      </c>
      <c r="G162" s="35">
        <v>1004</v>
      </c>
      <c r="H162" s="35">
        <v>1019</v>
      </c>
      <c r="I162" s="35">
        <v>1008</v>
      </c>
      <c r="J162" s="35">
        <v>1013</v>
      </c>
      <c r="K162"/>
      <c r="L162"/>
      <c r="M162"/>
      <c r="N162" s="25" t="s">
        <v>41</v>
      </c>
      <c r="O162" s="2" t="s">
        <v>161</v>
      </c>
      <c r="P162" s="27">
        <v>251</v>
      </c>
      <c r="Q162" s="27">
        <v>233</v>
      </c>
      <c r="R162" s="27">
        <v>229</v>
      </c>
      <c r="S162" s="27">
        <f t="shared" si="80"/>
        <v>1343</v>
      </c>
      <c r="T162" s="27">
        <v>243</v>
      </c>
      <c r="U162" s="27">
        <v>246</v>
      </c>
      <c r="V162" s="27">
        <v>241</v>
      </c>
      <c r="W162" s="27">
        <f>D162-SUM(T162:V162)</f>
        <v>297</v>
      </c>
      <c r="X162" s="27">
        <v>235</v>
      </c>
      <c r="Y162" s="27">
        <v>235</v>
      </c>
      <c r="Z162" s="27">
        <v>243</v>
      </c>
      <c r="AA162" s="27">
        <f>E162-SUM(X162:Z162)</f>
        <v>289</v>
      </c>
      <c r="AB162" s="27">
        <v>251</v>
      </c>
      <c r="AC162" s="27">
        <v>249</v>
      </c>
      <c r="AD162" s="27">
        <v>247</v>
      </c>
      <c r="AE162" s="27">
        <f t="shared" si="81"/>
        <v>281</v>
      </c>
      <c r="AF162" s="27">
        <v>244</v>
      </c>
      <c r="AG162" s="27">
        <v>235</v>
      </c>
      <c r="AH162" s="27">
        <v>237</v>
      </c>
      <c r="AI162" s="30">
        <f t="shared" si="82"/>
        <v>288</v>
      </c>
      <c r="AJ162" s="27">
        <v>254</v>
      </c>
      <c r="AK162" s="27">
        <v>242</v>
      </c>
      <c r="AL162" s="27">
        <v>242</v>
      </c>
      <c r="AM162" s="27">
        <v>281</v>
      </c>
      <c r="AN162" s="27">
        <v>238</v>
      </c>
      <c r="AO162" s="27">
        <v>239</v>
      </c>
      <c r="AP162" s="27">
        <v>238</v>
      </c>
      <c r="AQ162" s="30">
        <v>293</v>
      </c>
      <c r="AR162" s="27">
        <v>231</v>
      </c>
      <c r="AS162" s="27">
        <v>239</v>
      </c>
      <c r="AT162" s="27">
        <v>240</v>
      </c>
      <c r="AU162" s="30">
        <v>303</v>
      </c>
      <c r="AW162" s="2" t="s">
        <v>161</v>
      </c>
      <c r="AY162" s="78"/>
    </row>
    <row r="163" spans="1:53" ht="18" customHeight="1" x14ac:dyDescent="0.3">
      <c r="A163" s="25" t="s">
        <v>41</v>
      </c>
      <c r="B163" s="2" t="s">
        <v>164</v>
      </c>
      <c r="C163" s="35">
        <v>0</v>
      </c>
      <c r="D163" s="35">
        <v>0</v>
      </c>
      <c r="E163" s="35">
        <v>347</v>
      </c>
      <c r="F163" s="35">
        <v>525</v>
      </c>
      <c r="G163" s="35">
        <v>567</v>
      </c>
      <c r="H163" s="35">
        <v>586</v>
      </c>
      <c r="I163" s="35">
        <f>600-18</f>
        <v>582</v>
      </c>
      <c r="J163" s="35">
        <v>564</v>
      </c>
      <c r="K163"/>
      <c r="L163"/>
      <c r="M163"/>
      <c r="N163" s="25" t="s">
        <v>41</v>
      </c>
      <c r="O163" s="2" t="s">
        <v>164</v>
      </c>
      <c r="P163" s="27">
        <v>0</v>
      </c>
      <c r="Q163" s="27">
        <v>0</v>
      </c>
      <c r="R163" s="27">
        <v>0</v>
      </c>
      <c r="S163" s="27">
        <f t="shared" si="80"/>
        <v>0</v>
      </c>
      <c r="T163" s="27">
        <v>0</v>
      </c>
      <c r="U163" s="27">
        <v>0</v>
      </c>
      <c r="V163" s="27">
        <v>0</v>
      </c>
      <c r="W163" s="27">
        <f t="shared" ref="W163" si="83">D163-SUM(T163:V163)</f>
        <v>0</v>
      </c>
      <c r="X163" s="27">
        <v>9</v>
      </c>
      <c r="Y163" s="27">
        <v>105</v>
      </c>
      <c r="Z163" s="27">
        <v>118</v>
      </c>
      <c r="AA163" s="27">
        <f t="shared" ref="AA163" si="84">E163-SUM(X163:Z163)</f>
        <v>115</v>
      </c>
      <c r="AB163" s="27">
        <v>122</v>
      </c>
      <c r="AC163" s="27">
        <v>139</v>
      </c>
      <c r="AD163" s="27">
        <v>133</v>
      </c>
      <c r="AE163" s="27">
        <f t="shared" si="81"/>
        <v>131</v>
      </c>
      <c r="AF163" s="27">
        <v>126</v>
      </c>
      <c r="AG163" s="27">
        <v>138</v>
      </c>
      <c r="AH163" s="27">
        <v>131</v>
      </c>
      <c r="AI163" s="30">
        <f>G163-SUM(AF163:AH163)</f>
        <v>172</v>
      </c>
      <c r="AJ163" s="27">
        <v>132</v>
      </c>
      <c r="AK163" s="27">
        <v>142</v>
      </c>
      <c r="AL163" s="27">
        <v>137</v>
      </c>
      <c r="AM163" s="27">
        <v>175</v>
      </c>
      <c r="AN163" s="27">
        <v>130</v>
      </c>
      <c r="AO163" s="27">
        <v>141</v>
      </c>
      <c r="AP163" s="27">
        <v>137</v>
      </c>
      <c r="AQ163" s="30">
        <v>174</v>
      </c>
      <c r="AR163" s="27">
        <v>126</v>
      </c>
      <c r="AS163" s="27">
        <v>134</v>
      </c>
      <c r="AT163" s="27">
        <f>134-4</f>
        <v>130</v>
      </c>
      <c r="AU163" s="30">
        <v>174</v>
      </c>
      <c r="AW163" s="2" t="s">
        <v>164</v>
      </c>
      <c r="AY163" s="78"/>
    </row>
    <row r="164" spans="1:53" ht="18" customHeight="1" thickBot="1" x14ac:dyDescent="0.35">
      <c r="A164"/>
      <c r="B164"/>
      <c r="C164" s="55">
        <f t="shared" ref="C164:J164" si="85">SUM(C160:C163)</f>
        <v>5688</v>
      </c>
      <c r="D164" s="55">
        <f t="shared" si="85"/>
        <v>5597</v>
      </c>
      <c r="E164" s="55">
        <f t="shared" si="85"/>
        <v>5652</v>
      </c>
      <c r="F164" s="55">
        <f t="shared" si="85"/>
        <v>6584</v>
      </c>
      <c r="G164" s="55">
        <f t="shared" si="85"/>
        <v>6842</v>
      </c>
      <c r="H164" s="55">
        <f t="shared" si="85"/>
        <v>7076</v>
      </c>
      <c r="I164" s="55">
        <f t="shared" si="85"/>
        <v>7549</v>
      </c>
      <c r="J164" s="55">
        <f t="shared" si="85"/>
        <v>8214</v>
      </c>
      <c r="K164"/>
      <c r="L164"/>
      <c r="M164"/>
      <c r="N164" s="25"/>
      <c r="O164" s="8" t="s">
        <v>78</v>
      </c>
      <c r="P164" s="55">
        <f t="shared" ref="P164:AU164" si="86">SUM(P160:P163)</f>
        <v>1371</v>
      </c>
      <c r="Q164" s="55">
        <f t="shared" si="86"/>
        <v>1368</v>
      </c>
      <c r="R164" s="55">
        <f t="shared" si="86"/>
        <v>1391</v>
      </c>
      <c r="S164" s="55">
        <f t="shared" si="86"/>
        <v>1558</v>
      </c>
      <c r="T164" s="55">
        <f t="shared" si="86"/>
        <v>1254</v>
      </c>
      <c r="U164" s="55">
        <f t="shared" si="86"/>
        <v>1310</v>
      </c>
      <c r="V164" s="55">
        <f t="shared" si="86"/>
        <v>1339</v>
      </c>
      <c r="W164" s="55">
        <f t="shared" si="86"/>
        <v>1694</v>
      </c>
      <c r="X164" s="55">
        <f t="shared" si="86"/>
        <v>1263</v>
      </c>
      <c r="Y164" s="55">
        <f t="shared" si="86"/>
        <v>1198</v>
      </c>
      <c r="Z164" s="55">
        <f t="shared" si="86"/>
        <v>1448</v>
      </c>
      <c r="AA164" s="55">
        <f t="shared" si="86"/>
        <v>1743</v>
      </c>
      <c r="AB164" s="55">
        <f t="shared" si="86"/>
        <v>1486</v>
      </c>
      <c r="AC164" s="55">
        <f t="shared" si="86"/>
        <v>1602</v>
      </c>
      <c r="AD164" s="55">
        <f t="shared" si="86"/>
        <v>1606</v>
      </c>
      <c r="AE164" s="55">
        <f t="shared" si="86"/>
        <v>1890</v>
      </c>
      <c r="AF164" s="55">
        <f t="shared" si="86"/>
        <v>1547</v>
      </c>
      <c r="AG164" s="55">
        <f t="shared" si="86"/>
        <v>1636</v>
      </c>
      <c r="AH164" s="55">
        <f t="shared" si="86"/>
        <v>1640</v>
      </c>
      <c r="AI164" s="55">
        <f t="shared" si="86"/>
        <v>2019</v>
      </c>
      <c r="AJ164" s="55">
        <f t="shared" si="86"/>
        <v>1645</v>
      </c>
      <c r="AK164" s="55">
        <f t="shared" si="86"/>
        <v>1687</v>
      </c>
      <c r="AL164" s="55">
        <f t="shared" si="86"/>
        <v>1708</v>
      </c>
      <c r="AM164" s="55">
        <f t="shared" si="86"/>
        <v>2036</v>
      </c>
      <c r="AN164" s="55">
        <f t="shared" si="86"/>
        <v>1598</v>
      </c>
      <c r="AO164" s="55">
        <f t="shared" si="86"/>
        <v>1763</v>
      </c>
      <c r="AP164" s="55">
        <f t="shared" si="86"/>
        <v>1826</v>
      </c>
      <c r="AQ164" s="55">
        <f t="shared" si="86"/>
        <v>2362</v>
      </c>
      <c r="AR164" s="55">
        <f t="shared" si="86"/>
        <v>1787</v>
      </c>
      <c r="AS164" s="55">
        <f t="shared" si="86"/>
        <v>1933</v>
      </c>
      <c r="AT164" s="55">
        <f t="shared" si="86"/>
        <v>1979</v>
      </c>
      <c r="AU164" s="55">
        <f t="shared" si="86"/>
        <v>2515</v>
      </c>
      <c r="AV164" s="61"/>
      <c r="AW164" s="8" t="s">
        <v>78</v>
      </c>
      <c r="BA164" s="79"/>
    </row>
    <row r="165" spans="1:53" ht="18" customHeight="1" thickTop="1" x14ac:dyDescent="0.3">
      <c r="A165" s="4"/>
      <c r="B165" s="4"/>
      <c r="C165" s="4"/>
      <c r="D165" s="4"/>
      <c r="E165" s="68"/>
      <c r="F165" s="4"/>
      <c r="G165" s="4"/>
      <c r="H165" s="4"/>
      <c r="I165"/>
      <c r="J165" s="4"/>
      <c r="K165"/>
      <c r="L165"/>
      <c r="M165"/>
      <c r="N165" s="4"/>
      <c r="O165" s="4"/>
      <c r="P165" s="27"/>
      <c r="Q165" s="27"/>
      <c r="R165" s="27"/>
      <c r="S165" s="27"/>
      <c r="T165" s="27"/>
      <c r="U165" s="30"/>
      <c r="V165" s="30"/>
      <c r="W165" s="30"/>
      <c r="X165" s="30"/>
      <c r="Y165" s="30"/>
      <c r="Z165" s="30"/>
      <c r="AA165" s="30"/>
      <c r="AB165" s="30"/>
      <c r="AC165" s="30"/>
      <c r="AD165" s="30"/>
      <c r="AE165" s="30"/>
      <c r="AF165" s="30"/>
      <c r="AG165" s="30"/>
      <c r="AH165" s="30"/>
      <c r="AI165" s="30"/>
      <c r="AJ165" s="30"/>
      <c r="AK165" s="30"/>
      <c r="AL165"/>
      <c r="AM165" s="30"/>
      <c r="AN165" s="61"/>
      <c r="AO165" s="61"/>
      <c r="AP165" s="61"/>
      <c r="AQ165" s="61"/>
      <c r="AR165" s="61"/>
      <c r="AS165" s="61"/>
      <c r="AU165" s="61"/>
      <c r="AW165" s="4"/>
      <c r="BA165" s="79"/>
    </row>
    <row r="166" spans="1:53" ht="18" customHeight="1" x14ac:dyDescent="0.3">
      <c r="A166" s="18" t="s">
        <v>75</v>
      </c>
      <c r="B166" s="9" t="s">
        <v>122</v>
      </c>
      <c r="C166" s="9">
        <v>2018</v>
      </c>
      <c r="D166" s="9">
        <v>2019</v>
      </c>
      <c r="E166" s="9">
        <v>2020</v>
      </c>
      <c r="F166" s="10">
        <v>2021</v>
      </c>
      <c r="G166" s="11">
        <v>2022</v>
      </c>
      <c r="H166" s="12">
        <v>2023</v>
      </c>
      <c r="I166" s="13">
        <v>2024</v>
      </c>
      <c r="J166" s="14">
        <v>2025</v>
      </c>
      <c r="K166"/>
      <c r="L166"/>
      <c r="M166"/>
      <c r="N166" s="18" t="s">
        <v>75</v>
      </c>
      <c r="O166" s="9" t="s">
        <v>122</v>
      </c>
      <c r="P166" s="18" t="s">
        <v>119</v>
      </c>
      <c r="Q166" s="18" t="s">
        <v>120</v>
      </c>
      <c r="R166" s="18" t="s">
        <v>11</v>
      </c>
      <c r="S166" s="19" t="s">
        <v>90</v>
      </c>
      <c r="T166" s="18" t="s">
        <v>13</v>
      </c>
      <c r="U166" s="18" t="s">
        <v>14</v>
      </c>
      <c r="V166" s="18" t="s">
        <v>91</v>
      </c>
      <c r="W166" s="19" t="s">
        <v>92</v>
      </c>
      <c r="X166" s="18" t="s">
        <v>93</v>
      </c>
      <c r="Y166" s="18" t="s">
        <v>94</v>
      </c>
      <c r="Z166" s="18" t="s">
        <v>95</v>
      </c>
      <c r="AA166" s="19" t="s">
        <v>96</v>
      </c>
      <c r="AB166" s="18" t="s">
        <v>97</v>
      </c>
      <c r="AC166" s="18" t="s">
        <v>98</v>
      </c>
      <c r="AD166" s="18" t="s">
        <v>99</v>
      </c>
      <c r="AE166" s="19" t="s">
        <v>100</v>
      </c>
      <c r="AF166" s="18" t="s">
        <v>101</v>
      </c>
      <c r="AG166" s="18" t="s">
        <v>102</v>
      </c>
      <c r="AH166" s="18" t="s">
        <v>103</v>
      </c>
      <c r="AI166" s="19" t="s">
        <v>104</v>
      </c>
      <c r="AJ166" s="18" t="s">
        <v>105</v>
      </c>
      <c r="AK166" s="18" t="s">
        <v>106</v>
      </c>
      <c r="AL166" s="18" t="s">
        <v>107</v>
      </c>
      <c r="AM166" s="19" t="s">
        <v>32</v>
      </c>
      <c r="AN166" s="18" t="s">
        <v>33</v>
      </c>
      <c r="AO166" s="18" t="s">
        <v>34</v>
      </c>
      <c r="AP166" s="18" t="s">
        <v>108</v>
      </c>
      <c r="AQ166" s="19" t="s">
        <v>109</v>
      </c>
      <c r="AR166" s="18" t="s">
        <v>110</v>
      </c>
      <c r="AS166" s="18" t="s">
        <v>111</v>
      </c>
      <c r="AT166" s="18" t="s">
        <v>121</v>
      </c>
      <c r="AU166" s="19" t="s">
        <v>112</v>
      </c>
      <c r="AW166" s="9" t="s">
        <v>122</v>
      </c>
      <c r="BA166" s="79"/>
    </row>
    <row r="167" spans="1:53" ht="18" customHeight="1" x14ac:dyDescent="0.3">
      <c r="A167" s="25" t="s">
        <v>41</v>
      </c>
      <c r="B167" s="2" t="s">
        <v>116</v>
      </c>
      <c r="C167" s="35">
        <v>3002.0282294086119</v>
      </c>
      <c r="D167" s="35">
        <v>2954</v>
      </c>
      <c r="E167" s="35">
        <v>3242</v>
      </c>
      <c r="F167" s="35">
        <v>3646</v>
      </c>
      <c r="G167" s="35">
        <v>3879</v>
      </c>
      <c r="H167" s="35">
        <v>4106</v>
      </c>
      <c r="I167" s="35">
        <v>4333</v>
      </c>
      <c r="J167" s="35">
        <v>4525</v>
      </c>
      <c r="K167"/>
      <c r="L167"/>
      <c r="M167"/>
      <c r="N167" s="25" t="s">
        <v>41</v>
      </c>
      <c r="O167" s="2" t="s">
        <v>116</v>
      </c>
      <c r="P167" s="27">
        <v>708.45933014354068</v>
      </c>
      <c r="Q167" s="27">
        <v>720.54961832061065</v>
      </c>
      <c r="R167" s="27">
        <v>713.67961165048541</v>
      </c>
      <c r="S167" s="27">
        <v>859.33966929397502</v>
      </c>
      <c r="T167" s="27">
        <v>648</v>
      </c>
      <c r="U167" s="30">
        <v>690</v>
      </c>
      <c r="V167" s="30">
        <v>687</v>
      </c>
      <c r="W167" s="27">
        <v>929</v>
      </c>
      <c r="X167" s="30">
        <v>655</v>
      </c>
      <c r="Y167" s="30">
        <v>765</v>
      </c>
      <c r="Z167" s="30">
        <v>821</v>
      </c>
      <c r="AA167" s="27">
        <v>1001</v>
      </c>
      <c r="AB167" s="30">
        <v>820</v>
      </c>
      <c r="AC167" s="30">
        <v>882</v>
      </c>
      <c r="AD167" s="30">
        <v>866</v>
      </c>
      <c r="AE167" s="27">
        <v>1078</v>
      </c>
      <c r="AF167" s="30">
        <v>842</v>
      </c>
      <c r="AG167" s="30">
        <v>926</v>
      </c>
      <c r="AH167" s="30">
        <v>900</v>
      </c>
      <c r="AI167" s="30">
        <v>1211</v>
      </c>
      <c r="AJ167" s="30">
        <v>916</v>
      </c>
      <c r="AK167" s="30">
        <v>969</v>
      </c>
      <c r="AL167" s="30">
        <v>965</v>
      </c>
      <c r="AM167" s="27">
        <v>1256</v>
      </c>
      <c r="AN167" s="30">
        <v>927</v>
      </c>
      <c r="AO167" s="30">
        <v>1005</v>
      </c>
      <c r="AP167" s="30">
        <v>998</v>
      </c>
      <c r="AQ167" s="30">
        <v>1403</v>
      </c>
      <c r="AR167" s="30">
        <v>980</v>
      </c>
      <c r="AS167" s="30">
        <v>1043</v>
      </c>
      <c r="AT167" s="61">
        <v>1060</v>
      </c>
      <c r="AU167" s="30">
        <v>1442</v>
      </c>
      <c r="AW167" s="2" t="s">
        <v>116</v>
      </c>
      <c r="BA167" s="79"/>
    </row>
    <row r="168" spans="1:53" ht="18" customHeight="1" x14ac:dyDescent="0.3">
      <c r="A168" s="25" t="s">
        <v>41</v>
      </c>
      <c r="B168" s="2" t="s">
        <v>163</v>
      </c>
      <c r="C168" s="35">
        <v>278.45488654636415</v>
      </c>
      <c r="D168" s="35">
        <v>274</v>
      </c>
      <c r="E168" s="35">
        <v>255</v>
      </c>
      <c r="F168" s="35">
        <v>297</v>
      </c>
      <c r="G168" s="35">
        <v>276</v>
      </c>
      <c r="H168" s="35">
        <v>316</v>
      </c>
      <c r="I168" s="35">
        <v>327</v>
      </c>
      <c r="J168" s="35">
        <v>343</v>
      </c>
      <c r="K168"/>
      <c r="L168"/>
      <c r="M168"/>
      <c r="N168" s="25" t="s">
        <v>41</v>
      </c>
      <c r="O168" s="2" t="s">
        <v>163</v>
      </c>
      <c r="P168" s="27">
        <v>77.624401913875602</v>
      </c>
      <c r="Q168" s="27">
        <v>69.966412213740455</v>
      </c>
      <c r="R168" s="27">
        <v>75.834951456310677</v>
      </c>
      <c r="S168" s="27">
        <v>55.029120962437418</v>
      </c>
      <c r="T168" s="27">
        <v>71</v>
      </c>
      <c r="U168" s="30">
        <v>67</v>
      </c>
      <c r="V168" s="30">
        <v>73</v>
      </c>
      <c r="W168" s="27">
        <v>63</v>
      </c>
      <c r="X168" s="30">
        <v>57</v>
      </c>
      <c r="Y168" s="30">
        <v>59</v>
      </c>
      <c r="Z168" s="30">
        <v>71</v>
      </c>
      <c r="AA168" s="27">
        <v>68</v>
      </c>
      <c r="AB168" s="30">
        <v>78</v>
      </c>
      <c r="AC168" s="30">
        <v>74</v>
      </c>
      <c r="AD168" s="30">
        <v>77</v>
      </c>
      <c r="AE168" s="27">
        <v>68</v>
      </c>
      <c r="AF168" s="30">
        <v>77</v>
      </c>
      <c r="AG168" s="30">
        <v>61</v>
      </c>
      <c r="AH168" s="30">
        <v>78</v>
      </c>
      <c r="AI168" s="30">
        <v>60</v>
      </c>
      <c r="AJ168" s="30">
        <v>84</v>
      </c>
      <c r="AK168" s="30">
        <v>77</v>
      </c>
      <c r="AL168" s="30">
        <v>84</v>
      </c>
      <c r="AM168" s="27">
        <v>71</v>
      </c>
      <c r="AN168" s="30">
        <v>85</v>
      </c>
      <c r="AO168" s="30">
        <v>79</v>
      </c>
      <c r="AP168" s="30">
        <v>87</v>
      </c>
      <c r="AQ168" s="30">
        <v>76</v>
      </c>
      <c r="AR168" s="30">
        <v>86</v>
      </c>
      <c r="AS168" s="30">
        <v>82</v>
      </c>
      <c r="AT168" s="61">
        <v>93</v>
      </c>
      <c r="AU168" s="30">
        <v>82</v>
      </c>
      <c r="AW168" s="2" t="s">
        <v>163</v>
      </c>
      <c r="BA168" s="79"/>
    </row>
    <row r="169" spans="1:53" ht="18" customHeight="1" x14ac:dyDescent="0.3">
      <c r="A169" s="25" t="s">
        <v>41</v>
      </c>
      <c r="B169" s="2" t="s">
        <v>115</v>
      </c>
      <c r="C169" s="35">
        <v>2407.5168840450242</v>
      </c>
      <c r="D169" s="35">
        <v>2369</v>
      </c>
      <c r="E169" s="35">
        <v>2155</v>
      </c>
      <c r="F169" s="35">
        <v>2641</v>
      </c>
      <c r="G169" s="35">
        <v>2687</v>
      </c>
      <c r="H169" s="35">
        <v>2654</v>
      </c>
      <c r="I169" s="35">
        <v>2889</v>
      </c>
      <c r="J169" s="35">
        <v>3346</v>
      </c>
      <c r="K169"/>
      <c r="L169"/>
      <c r="M169"/>
      <c r="N169" s="25" t="s">
        <v>41</v>
      </c>
      <c r="O169" s="2" t="s">
        <v>115</v>
      </c>
      <c r="P169" s="27">
        <v>584.91626794258377</v>
      </c>
      <c r="Q169" s="27">
        <v>577.4839694656489</v>
      </c>
      <c r="R169" s="27">
        <v>601.48543689320388</v>
      </c>
      <c r="S169" s="27">
        <v>643.63120974358753</v>
      </c>
      <c r="T169" s="27">
        <v>535</v>
      </c>
      <c r="U169" s="30">
        <v>553</v>
      </c>
      <c r="V169" s="30">
        <v>579</v>
      </c>
      <c r="W169" s="27">
        <v>702</v>
      </c>
      <c r="X169" s="30">
        <v>551</v>
      </c>
      <c r="Y169" s="30">
        <v>374</v>
      </c>
      <c r="Z169" s="30">
        <v>556</v>
      </c>
      <c r="AA169" s="27">
        <v>674</v>
      </c>
      <c r="AB169" s="30">
        <v>588</v>
      </c>
      <c r="AC169" s="30">
        <v>646</v>
      </c>
      <c r="AD169" s="30">
        <v>663</v>
      </c>
      <c r="AE169" s="27">
        <v>744</v>
      </c>
      <c r="AF169" s="30">
        <v>628</v>
      </c>
      <c r="AG169" s="30">
        <v>649</v>
      </c>
      <c r="AH169" s="30">
        <v>662</v>
      </c>
      <c r="AI169" s="30">
        <v>748</v>
      </c>
      <c r="AJ169" s="30">
        <v>645</v>
      </c>
      <c r="AK169" s="30">
        <v>641</v>
      </c>
      <c r="AL169" s="30">
        <v>659</v>
      </c>
      <c r="AM169" s="27">
        <v>709</v>
      </c>
      <c r="AN169" s="30">
        <v>586</v>
      </c>
      <c r="AO169" s="30">
        <v>679</v>
      </c>
      <c r="AP169" s="30">
        <v>741</v>
      </c>
      <c r="AQ169" s="30">
        <v>883</v>
      </c>
      <c r="AR169" s="30">
        <v>721</v>
      </c>
      <c r="AS169" s="30">
        <v>808</v>
      </c>
      <c r="AT169" s="61">
        <v>826</v>
      </c>
      <c r="AU169" s="30">
        <v>991</v>
      </c>
      <c r="AW169" s="2" t="s">
        <v>115</v>
      </c>
      <c r="BA169" s="79"/>
    </row>
    <row r="170" spans="1:53" ht="18" customHeight="1" thickBot="1" x14ac:dyDescent="0.35">
      <c r="A170" s="25"/>
      <c r="B170" s="8" t="s">
        <v>78</v>
      </c>
      <c r="C170" s="55">
        <v>5688</v>
      </c>
      <c r="D170" s="55">
        <v>5597</v>
      </c>
      <c r="E170" s="55">
        <v>5652</v>
      </c>
      <c r="F170" s="55">
        <v>6584</v>
      </c>
      <c r="G170" s="55">
        <v>6842</v>
      </c>
      <c r="H170" s="55">
        <v>7076</v>
      </c>
      <c r="I170" s="55">
        <v>7549</v>
      </c>
      <c r="J170" s="55">
        <f t="shared" ref="J170" si="87">SUM(J167:J169)</f>
        <v>8214</v>
      </c>
      <c r="K170"/>
      <c r="L170"/>
      <c r="M170"/>
      <c r="N170" s="25"/>
      <c r="O170" s="8" t="s">
        <v>78</v>
      </c>
      <c r="P170" s="55">
        <f t="shared" ref="P170:AU170" si="88">SUM(P167:P169)</f>
        <v>1371</v>
      </c>
      <c r="Q170" s="55">
        <f t="shared" si="88"/>
        <v>1368</v>
      </c>
      <c r="R170" s="55">
        <f t="shared" si="88"/>
        <v>1391</v>
      </c>
      <c r="S170" s="55">
        <f t="shared" si="88"/>
        <v>1558</v>
      </c>
      <c r="T170" s="55">
        <f t="shared" si="88"/>
        <v>1254</v>
      </c>
      <c r="U170" s="55">
        <f t="shared" si="88"/>
        <v>1310</v>
      </c>
      <c r="V170" s="55">
        <f t="shared" si="88"/>
        <v>1339</v>
      </c>
      <c r="W170" s="55">
        <f t="shared" si="88"/>
        <v>1694</v>
      </c>
      <c r="X170" s="55">
        <f t="shared" si="88"/>
        <v>1263</v>
      </c>
      <c r="Y170" s="55">
        <f t="shared" si="88"/>
        <v>1198</v>
      </c>
      <c r="Z170" s="55">
        <f t="shared" si="88"/>
        <v>1448</v>
      </c>
      <c r="AA170" s="55">
        <f t="shared" si="88"/>
        <v>1743</v>
      </c>
      <c r="AB170" s="55">
        <f t="shared" si="88"/>
        <v>1486</v>
      </c>
      <c r="AC170" s="55">
        <f t="shared" si="88"/>
        <v>1602</v>
      </c>
      <c r="AD170" s="55">
        <f t="shared" si="88"/>
        <v>1606</v>
      </c>
      <c r="AE170" s="55">
        <f t="shared" si="88"/>
        <v>1890</v>
      </c>
      <c r="AF170" s="55">
        <f t="shared" si="88"/>
        <v>1547</v>
      </c>
      <c r="AG170" s="55">
        <f t="shared" si="88"/>
        <v>1636</v>
      </c>
      <c r="AH170" s="55">
        <f t="shared" si="88"/>
        <v>1640</v>
      </c>
      <c r="AI170" s="55">
        <f t="shared" si="88"/>
        <v>2019</v>
      </c>
      <c r="AJ170" s="55">
        <f t="shared" si="88"/>
        <v>1645</v>
      </c>
      <c r="AK170" s="55">
        <f t="shared" si="88"/>
        <v>1687</v>
      </c>
      <c r="AL170" s="55">
        <f t="shared" si="88"/>
        <v>1708</v>
      </c>
      <c r="AM170" s="55">
        <f t="shared" si="88"/>
        <v>2036</v>
      </c>
      <c r="AN170" s="55">
        <f t="shared" si="88"/>
        <v>1598</v>
      </c>
      <c r="AO170" s="55">
        <f t="shared" si="88"/>
        <v>1763</v>
      </c>
      <c r="AP170" s="55">
        <f t="shared" si="88"/>
        <v>1826</v>
      </c>
      <c r="AQ170" s="55">
        <f t="shared" si="88"/>
        <v>2362</v>
      </c>
      <c r="AR170" s="55">
        <f t="shared" si="88"/>
        <v>1787</v>
      </c>
      <c r="AS170" s="55">
        <f t="shared" si="88"/>
        <v>1933</v>
      </c>
      <c r="AT170" s="55">
        <f t="shared" si="88"/>
        <v>1979</v>
      </c>
      <c r="AU170" s="55">
        <f t="shared" si="88"/>
        <v>2515</v>
      </c>
      <c r="AW170" s="8" t="s">
        <v>78</v>
      </c>
      <c r="BA170" s="79"/>
    </row>
    <row r="171" spans="1:53" ht="18" customHeight="1" thickTop="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W171" s="53"/>
      <c r="BA171" s="79"/>
    </row>
    <row r="172" spans="1:53" ht="18" customHeight="1" x14ac:dyDescent="0.3">
      <c r="A172" s="18" t="s">
        <v>75</v>
      </c>
      <c r="B172" s="9" t="s">
        <v>143</v>
      </c>
      <c r="C172" s="9">
        <v>2018</v>
      </c>
      <c r="D172" s="9">
        <v>2019</v>
      </c>
      <c r="E172" s="9">
        <v>2020</v>
      </c>
      <c r="F172" s="10">
        <v>2021</v>
      </c>
      <c r="G172" s="11">
        <v>2022</v>
      </c>
      <c r="H172" s="12">
        <v>2023</v>
      </c>
      <c r="I172" s="13">
        <v>2024</v>
      </c>
      <c r="J172" s="14">
        <v>2025</v>
      </c>
      <c r="K172"/>
      <c r="L172"/>
      <c r="M172"/>
      <c r="N172" s="18" t="s">
        <v>75</v>
      </c>
      <c r="O172" s="9" t="s">
        <v>143</v>
      </c>
      <c r="P172" s="18" t="s">
        <v>119</v>
      </c>
      <c r="Q172" s="18" t="s">
        <v>120</v>
      </c>
      <c r="R172" s="18" t="s">
        <v>11</v>
      </c>
      <c r="S172" s="19" t="s">
        <v>90</v>
      </c>
      <c r="T172" s="18" t="s">
        <v>13</v>
      </c>
      <c r="U172" s="18" t="s">
        <v>14</v>
      </c>
      <c r="V172" s="18" t="s">
        <v>91</v>
      </c>
      <c r="W172" s="19" t="s">
        <v>92</v>
      </c>
      <c r="X172" s="18" t="s">
        <v>93</v>
      </c>
      <c r="Y172" s="18" t="s">
        <v>94</v>
      </c>
      <c r="Z172" s="18" t="s">
        <v>95</v>
      </c>
      <c r="AA172" s="19" t="s">
        <v>96</v>
      </c>
      <c r="AB172" s="18" t="s">
        <v>97</v>
      </c>
      <c r="AC172" s="18" t="s">
        <v>98</v>
      </c>
      <c r="AD172" s="18" t="s">
        <v>99</v>
      </c>
      <c r="AE172" s="19" t="s">
        <v>100</v>
      </c>
      <c r="AF172" s="18" t="s">
        <v>101</v>
      </c>
      <c r="AG172" s="18" t="s">
        <v>102</v>
      </c>
      <c r="AH172" s="18" t="s">
        <v>103</v>
      </c>
      <c r="AI172" s="19" t="s">
        <v>104</v>
      </c>
      <c r="AJ172" s="18" t="s">
        <v>105</v>
      </c>
      <c r="AK172" s="18" t="s">
        <v>106</v>
      </c>
      <c r="AL172" s="18" t="s">
        <v>107</v>
      </c>
      <c r="AM172" s="19" t="s">
        <v>32</v>
      </c>
      <c r="AN172" s="18" t="s">
        <v>33</v>
      </c>
      <c r="AO172" s="18" t="s">
        <v>34</v>
      </c>
      <c r="AP172" s="18" t="s">
        <v>108</v>
      </c>
      <c r="AQ172" s="19" t="s">
        <v>109</v>
      </c>
      <c r="AR172" s="18" t="s">
        <v>110</v>
      </c>
      <c r="AS172" s="18" t="s">
        <v>111</v>
      </c>
      <c r="AT172" s="18" t="s">
        <v>121</v>
      </c>
      <c r="AU172" s="19" t="s">
        <v>112</v>
      </c>
      <c r="AW172" s="9" t="s">
        <v>143</v>
      </c>
      <c r="BA172" s="79"/>
    </row>
    <row r="173" spans="1:53" ht="18" customHeight="1" x14ac:dyDescent="0.3">
      <c r="A173" s="25" t="s">
        <v>41</v>
      </c>
      <c r="B173" s="2" t="s">
        <v>144</v>
      </c>
      <c r="C173" s="30">
        <v>2000</v>
      </c>
      <c r="D173" s="30">
        <v>1546</v>
      </c>
      <c r="E173" s="30">
        <v>1810</v>
      </c>
      <c r="F173" s="30">
        <v>2106</v>
      </c>
      <c r="G173" s="30">
        <v>2072</v>
      </c>
      <c r="H173" s="35">
        <v>2142</v>
      </c>
      <c r="I173" s="35">
        <v>2552</v>
      </c>
      <c r="J173" s="35">
        <v>2945</v>
      </c>
      <c r="K173"/>
      <c r="L173"/>
      <c r="M173"/>
      <c r="N173" s="25" t="s">
        <v>41</v>
      </c>
      <c r="O173" s="2" t="s">
        <v>144</v>
      </c>
      <c r="P173" s="30">
        <v>512</v>
      </c>
      <c r="Q173" s="30">
        <v>512</v>
      </c>
      <c r="R173" s="30">
        <v>499</v>
      </c>
      <c r="S173" s="27">
        <f>C173-SUM(P173:R173)</f>
        <v>477</v>
      </c>
      <c r="T173" s="30">
        <v>333</v>
      </c>
      <c r="U173" s="30">
        <v>359</v>
      </c>
      <c r="V173" s="30">
        <v>364</v>
      </c>
      <c r="W173" s="30">
        <f>D173-SUM(T173:V173)</f>
        <v>490</v>
      </c>
      <c r="X173" s="30">
        <v>355</v>
      </c>
      <c r="Y173" s="30">
        <v>403</v>
      </c>
      <c r="Z173" s="30">
        <v>486</v>
      </c>
      <c r="AA173" s="30">
        <f>E173-SUM(X173:Z173)</f>
        <v>566</v>
      </c>
      <c r="AB173" s="30">
        <v>476</v>
      </c>
      <c r="AC173" s="30">
        <v>520</v>
      </c>
      <c r="AD173" s="30">
        <v>513</v>
      </c>
      <c r="AE173" s="27">
        <f>F173-SUM(AB173:AD173)</f>
        <v>597</v>
      </c>
      <c r="AF173" s="30">
        <v>470</v>
      </c>
      <c r="AG173" s="30">
        <v>499</v>
      </c>
      <c r="AH173" s="30">
        <v>479</v>
      </c>
      <c r="AI173" s="30">
        <f>G173-SUM(AF173:AH173)</f>
        <v>624</v>
      </c>
      <c r="AJ173" s="30">
        <v>474</v>
      </c>
      <c r="AK173" s="30">
        <v>511</v>
      </c>
      <c r="AL173" s="30">
        <v>510</v>
      </c>
      <c r="AM173" s="27">
        <v>647</v>
      </c>
      <c r="AN173" s="30">
        <v>474</v>
      </c>
      <c r="AO173" s="30">
        <v>572</v>
      </c>
      <c r="AP173" s="30">
        <v>621</v>
      </c>
      <c r="AQ173" s="30">
        <v>885</v>
      </c>
      <c r="AR173" s="30">
        <v>607</v>
      </c>
      <c r="AS173" s="30">
        <v>669</v>
      </c>
      <c r="AT173" s="30">
        <v>697</v>
      </c>
      <c r="AU173" s="30">
        <v>972</v>
      </c>
      <c r="AW173" s="2" t="s">
        <v>145</v>
      </c>
      <c r="BA173" s="79"/>
    </row>
    <row r="174" spans="1:53" ht="18" customHeight="1" x14ac:dyDescent="0.3">
      <c r="A174" s="25" t="s">
        <v>41</v>
      </c>
      <c r="B174" s="2" t="s">
        <v>146</v>
      </c>
      <c r="C174" s="69">
        <v>2482</v>
      </c>
      <c r="D174" s="69">
        <v>2660</v>
      </c>
      <c r="E174" s="69">
        <v>2510</v>
      </c>
      <c r="F174" s="69">
        <v>2900</v>
      </c>
      <c r="G174" s="69">
        <v>3096</v>
      </c>
      <c r="H174" s="35">
        <v>3247</v>
      </c>
      <c r="I174" s="35">
        <v>3295</v>
      </c>
      <c r="J174" s="35">
        <v>3473</v>
      </c>
      <c r="K174"/>
      <c r="L174"/>
      <c r="M174"/>
      <c r="N174" s="25" t="s">
        <v>41</v>
      </c>
      <c r="O174" s="2" t="s">
        <v>146</v>
      </c>
      <c r="P174" s="30">
        <v>584</v>
      </c>
      <c r="Q174" s="30">
        <v>584</v>
      </c>
      <c r="R174" s="30">
        <v>605</v>
      </c>
      <c r="S174" s="27">
        <f t="shared" ref="S174:S175" si="89">C174-SUM(P174:R174)</f>
        <v>709</v>
      </c>
      <c r="T174" s="30">
        <v>612</v>
      </c>
      <c r="U174" s="30">
        <v>633</v>
      </c>
      <c r="V174" s="30">
        <v>645</v>
      </c>
      <c r="W174" s="30">
        <f t="shared" ref="W174:W175" si="90">D174-SUM(T174:V174)</f>
        <v>770</v>
      </c>
      <c r="X174" s="30">
        <v>596</v>
      </c>
      <c r="Y174" s="30">
        <v>525</v>
      </c>
      <c r="Z174" s="30">
        <v>639</v>
      </c>
      <c r="AA174" s="30">
        <f t="shared" ref="AA174:AA175" si="91">E174-SUM(X174:Z174)</f>
        <v>750</v>
      </c>
      <c r="AB174" s="30">
        <v>658</v>
      </c>
      <c r="AC174" s="30">
        <v>706</v>
      </c>
      <c r="AD174" s="30">
        <v>716</v>
      </c>
      <c r="AE174" s="27">
        <f t="shared" ref="AE174:AE175" si="92">F174-SUM(AB174:AD174)</f>
        <v>820</v>
      </c>
      <c r="AF174" s="30">
        <v>714</v>
      </c>
      <c r="AG174" s="30">
        <v>737</v>
      </c>
      <c r="AH174" s="30">
        <v>760</v>
      </c>
      <c r="AI174" s="30">
        <f t="shared" ref="AI174:AI175" si="93">G174-SUM(AF174:AH174)</f>
        <v>885</v>
      </c>
      <c r="AJ174" s="30">
        <v>770</v>
      </c>
      <c r="AK174" s="30">
        <v>785</v>
      </c>
      <c r="AL174" s="30">
        <v>796</v>
      </c>
      <c r="AM174" s="27">
        <v>896</v>
      </c>
      <c r="AN174" s="30">
        <v>757</v>
      </c>
      <c r="AO174" s="30">
        <v>789</v>
      </c>
      <c r="AP174" s="30">
        <v>804</v>
      </c>
      <c r="AQ174" s="30">
        <v>945</v>
      </c>
      <c r="AR174" s="30">
        <v>785</v>
      </c>
      <c r="AS174" s="30">
        <v>835.3</v>
      </c>
      <c r="AT174" s="30">
        <v>857</v>
      </c>
      <c r="AU174" s="30">
        <v>995.69999999999982</v>
      </c>
      <c r="AW174" s="2" t="s">
        <v>147</v>
      </c>
      <c r="BA174" s="79"/>
    </row>
    <row r="175" spans="1:53" ht="18" customHeight="1" x14ac:dyDescent="0.3">
      <c r="A175" s="25" t="s">
        <v>41</v>
      </c>
      <c r="B175" t="s">
        <v>148</v>
      </c>
      <c r="C175" s="69">
        <v>1206</v>
      </c>
      <c r="D175" s="69">
        <v>1391</v>
      </c>
      <c r="E175" s="69">
        <v>1332</v>
      </c>
      <c r="F175" s="69">
        <v>1578</v>
      </c>
      <c r="G175" s="69">
        <v>1674</v>
      </c>
      <c r="H175" s="35">
        <v>1687</v>
      </c>
      <c r="I175" s="35">
        <v>1702</v>
      </c>
      <c r="J175" s="35">
        <v>1796</v>
      </c>
      <c r="K175"/>
      <c r="L175"/>
      <c r="M175"/>
      <c r="N175" s="25" t="s">
        <v>41</v>
      </c>
      <c r="O175" t="s">
        <v>148</v>
      </c>
      <c r="P175" s="30">
        <v>275</v>
      </c>
      <c r="Q175" s="30">
        <v>272</v>
      </c>
      <c r="R175" s="30">
        <v>287</v>
      </c>
      <c r="S175" s="27">
        <f t="shared" si="89"/>
        <v>372</v>
      </c>
      <c r="T175" s="30">
        <v>309</v>
      </c>
      <c r="U175" s="30">
        <v>318</v>
      </c>
      <c r="V175" s="30">
        <v>330</v>
      </c>
      <c r="W175" s="30">
        <f t="shared" si="90"/>
        <v>434</v>
      </c>
      <c r="X175" s="30">
        <v>312</v>
      </c>
      <c r="Y175" s="30">
        <v>270</v>
      </c>
      <c r="Z175" s="30">
        <v>323</v>
      </c>
      <c r="AA175" s="30">
        <f t="shared" si="91"/>
        <v>427</v>
      </c>
      <c r="AB175" s="30">
        <v>352</v>
      </c>
      <c r="AC175" s="30">
        <v>376</v>
      </c>
      <c r="AD175" s="30">
        <v>377</v>
      </c>
      <c r="AE175" s="27">
        <f t="shared" si="92"/>
        <v>473</v>
      </c>
      <c r="AF175" s="30">
        <v>363</v>
      </c>
      <c r="AG175" s="30">
        <v>400</v>
      </c>
      <c r="AH175" s="30">
        <v>401</v>
      </c>
      <c r="AI175" s="30">
        <f t="shared" si="93"/>
        <v>510</v>
      </c>
      <c r="AJ175" s="30">
        <v>401</v>
      </c>
      <c r="AK175" s="30">
        <v>391</v>
      </c>
      <c r="AL175" s="30">
        <v>402</v>
      </c>
      <c r="AM175" s="27">
        <v>493</v>
      </c>
      <c r="AN175" s="30">
        <v>367</v>
      </c>
      <c r="AO175" s="30">
        <v>402</v>
      </c>
      <c r="AP175" s="30">
        <v>401</v>
      </c>
      <c r="AQ175" s="30">
        <v>532</v>
      </c>
      <c r="AR175" s="30">
        <v>395</v>
      </c>
      <c r="AS175" s="30">
        <f>428.3</f>
        <v>428.3</v>
      </c>
      <c r="AT175" s="30">
        <f>426-1</f>
        <v>425</v>
      </c>
      <c r="AU175" s="30">
        <v>547.70000000000005</v>
      </c>
      <c r="AW175" t="s">
        <v>148</v>
      </c>
      <c r="BA175" s="79"/>
    </row>
    <row r="176" spans="1:53" ht="18" customHeight="1" thickBot="1" x14ac:dyDescent="0.35">
      <c r="A176"/>
      <c r="B176" s="8" t="s">
        <v>78</v>
      </c>
      <c r="C176" s="56">
        <f t="shared" ref="C176:J176" si="94">SUM(C173:C175)</f>
        <v>5688</v>
      </c>
      <c r="D176" s="56">
        <f t="shared" si="94"/>
        <v>5597</v>
      </c>
      <c r="E176" s="56">
        <f t="shared" si="94"/>
        <v>5652</v>
      </c>
      <c r="F176" s="56">
        <f t="shared" si="94"/>
        <v>6584</v>
      </c>
      <c r="G176" s="56">
        <f t="shared" si="94"/>
        <v>6842</v>
      </c>
      <c r="H176" s="56">
        <f t="shared" si="94"/>
        <v>7076</v>
      </c>
      <c r="I176" s="56">
        <f t="shared" si="94"/>
        <v>7549</v>
      </c>
      <c r="J176" s="56">
        <f t="shared" si="94"/>
        <v>8214</v>
      </c>
      <c r="K176"/>
      <c r="L176"/>
      <c r="M176"/>
      <c r="N176"/>
      <c r="O176" s="8" t="s">
        <v>78</v>
      </c>
      <c r="P176" s="55">
        <f t="shared" ref="P176:S176" si="95">SUM(P173:P175)</f>
        <v>1371</v>
      </c>
      <c r="Q176" s="55">
        <f t="shared" si="95"/>
        <v>1368</v>
      </c>
      <c r="R176" s="55">
        <f t="shared" si="95"/>
        <v>1391</v>
      </c>
      <c r="S176" s="55">
        <f t="shared" si="95"/>
        <v>1558</v>
      </c>
      <c r="T176" s="55">
        <f>SUM(T173:T175)</f>
        <v>1254</v>
      </c>
      <c r="U176" s="55">
        <f t="shared" ref="U176:AU176" si="96">SUM(U173:U175)</f>
        <v>1310</v>
      </c>
      <c r="V176" s="55">
        <f t="shared" si="96"/>
        <v>1339</v>
      </c>
      <c r="W176" s="55">
        <f t="shared" si="96"/>
        <v>1694</v>
      </c>
      <c r="X176" s="55">
        <f t="shared" si="96"/>
        <v>1263</v>
      </c>
      <c r="Y176" s="55">
        <f t="shared" si="96"/>
        <v>1198</v>
      </c>
      <c r="Z176" s="55">
        <f t="shared" si="96"/>
        <v>1448</v>
      </c>
      <c r="AA176" s="55">
        <f t="shared" si="96"/>
        <v>1743</v>
      </c>
      <c r="AB176" s="55">
        <f t="shared" si="96"/>
        <v>1486</v>
      </c>
      <c r="AC176" s="55">
        <f t="shared" si="96"/>
        <v>1602</v>
      </c>
      <c r="AD176" s="55">
        <f t="shared" si="96"/>
        <v>1606</v>
      </c>
      <c r="AE176" s="55">
        <f t="shared" si="96"/>
        <v>1890</v>
      </c>
      <c r="AF176" s="55">
        <f t="shared" si="96"/>
        <v>1547</v>
      </c>
      <c r="AG176" s="55">
        <f t="shared" si="96"/>
        <v>1636</v>
      </c>
      <c r="AH176" s="55">
        <f t="shared" si="96"/>
        <v>1640</v>
      </c>
      <c r="AI176" s="55">
        <f t="shared" si="96"/>
        <v>2019</v>
      </c>
      <c r="AJ176" s="55">
        <f t="shared" si="96"/>
        <v>1645</v>
      </c>
      <c r="AK176" s="55">
        <f t="shared" si="96"/>
        <v>1687</v>
      </c>
      <c r="AL176" s="55">
        <f t="shared" si="96"/>
        <v>1708</v>
      </c>
      <c r="AM176" s="55">
        <f t="shared" si="96"/>
        <v>2036</v>
      </c>
      <c r="AN176" s="55">
        <f t="shared" si="96"/>
        <v>1598</v>
      </c>
      <c r="AO176" s="55">
        <f t="shared" si="96"/>
        <v>1763</v>
      </c>
      <c r="AP176" s="55">
        <f t="shared" si="96"/>
        <v>1826</v>
      </c>
      <c r="AQ176" s="55">
        <f t="shared" si="96"/>
        <v>2362</v>
      </c>
      <c r="AR176" s="55">
        <f t="shared" si="96"/>
        <v>1787</v>
      </c>
      <c r="AS176" s="55">
        <f t="shared" si="96"/>
        <v>1932.6</v>
      </c>
      <c r="AT176" s="55">
        <f t="shared" si="96"/>
        <v>1979</v>
      </c>
      <c r="AU176" s="55">
        <f t="shared" si="96"/>
        <v>2515.3999999999996</v>
      </c>
      <c r="AW176" s="8" t="s">
        <v>78</v>
      </c>
      <c r="BA176" s="79"/>
    </row>
    <row r="177" spans="1:70" ht="18" customHeight="1" thickTop="1" x14ac:dyDescent="0.3">
      <c r="A177"/>
      <c r="B177" s="80" t="s">
        <v>149</v>
      </c>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W177" s="80" t="s">
        <v>149</v>
      </c>
      <c r="BA177" s="79"/>
    </row>
    <row r="178" spans="1:70" x14ac:dyDescent="0.3">
      <c r="A178"/>
      <c r="B178" s="2" t="s">
        <v>150</v>
      </c>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W178" s="2" t="s">
        <v>150</v>
      </c>
    </row>
    <row r="179" spans="1:70"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W179" s="53"/>
    </row>
    <row r="180" spans="1:70"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s="18"/>
      <c r="AO180"/>
      <c r="AW180" s="53"/>
      <c r="BA180" s="52"/>
    </row>
    <row r="181" spans="1:70" s="2" customFormat="1" ht="18" customHeight="1" x14ac:dyDescent="0.3">
      <c r="A181" s="8" t="s">
        <v>165</v>
      </c>
      <c r="C181" s="9">
        <v>2018</v>
      </c>
      <c r="D181" s="9">
        <v>2019</v>
      </c>
      <c r="E181" s="9">
        <v>2020</v>
      </c>
      <c r="F181" s="73">
        <v>2021</v>
      </c>
      <c r="G181" s="11">
        <v>2022</v>
      </c>
      <c r="H181" s="12">
        <v>2023</v>
      </c>
      <c r="I181" s="13">
        <v>2024</v>
      </c>
      <c r="J181" s="14">
        <v>2025</v>
      </c>
      <c r="K181" s="84"/>
      <c r="L181" s="84"/>
      <c r="M181" s="84"/>
      <c r="N181" s="8" t="s">
        <v>165</v>
      </c>
      <c r="P181" s="85" t="s">
        <v>119</v>
      </c>
      <c r="Q181" s="85" t="s">
        <v>120</v>
      </c>
      <c r="R181" s="85" t="s">
        <v>11</v>
      </c>
      <c r="S181" s="19" t="s">
        <v>166</v>
      </c>
      <c r="T181" s="18" t="s">
        <v>167</v>
      </c>
      <c r="U181" s="18" t="s">
        <v>168</v>
      </c>
      <c r="V181" s="18" t="s">
        <v>169</v>
      </c>
      <c r="W181" s="19" t="s">
        <v>92</v>
      </c>
      <c r="X181" s="18" t="s">
        <v>93</v>
      </c>
      <c r="Y181" s="18" t="s">
        <v>94</v>
      </c>
      <c r="Z181" s="18" t="s">
        <v>170</v>
      </c>
      <c r="AA181" s="19" t="s">
        <v>171</v>
      </c>
      <c r="AB181" s="18" t="s">
        <v>97</v>
      </c>
      <c r="AC181" s="18" t="s">
        <v>172</v>
      </c>
      <c r="AD181" s="18" t="s">
        <v>173</v>
      </c>
      <c r="AE181" s="19" t="s">
        <v>100</v>
      </c>
      <c r="AF181" s="18" t="s">
        <v>174</v>
      </c>
      <c r="AG181" s="18" t="s">
        <v>175</v>
      </c>
      <c r="AH181" s="18" t="s">
        <v>176</v>
      </c>
      <c r="AI181" s="19" t="s">
        <v>104</v>
      </c>
      <c r="AJ181" s="18" t="s">
        <v>177</v>
      </c>
      <c r="AK181" s="18" t="s">
        <v>178</v>
      </c>
      <c r="AL181" s="18" t="s">
        <v>179</v>
      </c>
      <c r="AM181" s="19" t="s">
        <v>180</v>
      </c>
      <c r="AN181" s="18" t="s">
        <v>181</v>
      </c>
      <c r="AO181" s="18" t="s">
        <v>182</v>
      </c>
      <c r="AP181" s="18" t="s">
        <v>183</v>
      </c>
      <c r="AQ181" s="19" t="s">
        <v>109</v>
      </c>
      <c r="AR181" s="18" t="s">
        <v>184</v>
      </c>
      <c r="AS181" s="18" t="s">
        <v>185</v>
      </c>
      <c r="AT181" s="18" t="s">
        <v>121</v>
      </c>
      <c r="AU181" s="19" t="s">
        <v>112</v>
      </c>
      <c r="AV181" s="4"/>
      <c r="AW181" s="8" t="s">
        <v>165</v>
      </c>
      <c r="AZ181" s="9"/>
      <c r="BA181" s="33"/>
      <c r="BB181" s="86" t="s">
        <v>2</v>
      </c>
      <c r="BC181" s="86" t="s">
        <v>3</v>
      </c>
      <c r="BD181" s="86" t="s">
        <v>4</v>
      </c>
    </row>
    <row r="182" spans="1:70" s="2" customFormat="1" ht="18" customHeight="1" x14ac:dyDescent="0.3">
      <c r="A182" s="25" t="s">
        <v>41</v>
      </c>
      <c r="B182" s="2" t="s">
        <v>42</v>
      </c>
      <c r="C182" s="31">
        <v>2332</v>
      </c>
      <c r="D182" s="31">
        <v>2483</v>
      </c>
      <c r="E182" s="31">
        <v>1983</v>
      </c>
      <c r="F182" s="64">
        <v>2927.53</v>
      </c>
      <c r="G182" s="64">
        <v>3303.1559999999999</v>
      </c>
      <c r="H182" s="36">
        <v>3439.5</v>
      </c>
      <c r="I182" s="36">
        <v>3581.6930000000002</v>
      </c>
      <c r="J182" s="28">
        <v>3751.82</v>
      </c>
      <c r="K182" s="36"/>
      <c r="L182" s="36"/>
      <c r="M182" s="36"/>
      <c r="N182" s="25" t="s">
        <v>41</v>
      </c>
      <c r="O182" s="2" t="s">
        <v>42</v>
      </c>
      <c r="P182" s="30">
        <v>585</v>
      </c>
      <c r="Q182" s="30">
        <v>587</v>
      </c>
      <c r="R182" s="30">
        <v>575</v>
      </c>
      <c r="S182" s="31">
        <v>567.58000000000004</v>
      </c>
      <c r="T182" s="31">
        <v>599.48</v>
      </c>
      <c r="U182" s="31">
        <v>602.64</v>
      </c>
      <c r="V182" s="31">
        <v>586.54</v>
      </c>
      <c r="W182" s="31">
        <v>694.03</v>
      </c>
      <c r="X182" s="31">
        <v>615.11</v>
      </c>
      <c r="Y182" s="31">
        <v>295.85000000000002</v>
      </c>
      <c r="Z182" s="31">
        <v>517.72</v>
      </c>
      <c r="AA182" s="31">
        <v>554.54999999999995</v>
      </c>
      <c r="AB182" s="31">
        <v>627.41999999999996</v>
      </c>
      <c r="AC182" s="31">
        <f>1396.37-AB182</f>
        <v>768.94999999999993</v>
      </c>
      <c r="AD182" s="31">
        <v>754.47</v>
      </c>
      <c r="AE182" s="31">
        <v>776.69</v>
      </c>
      <c r="AF182" s="31">
        <v>793.71</v>
      </c>
      <c r="AG182" s="31">
        <v>832.64</v>
      </c>
      <c r="AH182" s="31">
        <v>784.00099999999998</v>
      </c>
      <c r="AI182" s="31">
        <v>892.80500000000029</v>
      </c>
      <c r="AJ182" s="31">
        <v>866.11</v>
      </c>
      <c r="AK182" s="31">
        <v>866.17</v>
      </c>
      <c r="AL182" s="31">
        <v>830.21</v>
      </c>
      <c r="AM182" s="31">
        <v>877.01</v>
      </c>
      <c r="AN182" s="31">
        <v>891.22299999999996</v>
      </c>
      <c r="AO182" s="31">
        <v>904.04</v>
      </c>
      <c r="AP182" s="31">
        <v>865.47</v>
      </c>
      <c r="AQ182" s="31">
        <v>920.96</v>
      </c>
      <c r="AR182" s="31">
        <v>927.2</v>
      </c>
      <c r="AS182" s="31">
        <v>955.83</v>
      </c>
      <c r="AT182" s="31">
        <v>907.23</v>
      </c>
      <c r="AU182" s="31">
        <v>961.56</v>
      </c>
      <c r="AW182" s="33" t="s">
        <v>42</v>
      </c>
      <c r="AX182" s="33" t="s">
        <v>41</v>
      </c>
      <c r="AZ182" s="33"/>
      <c r="BA182" s="33" t="s">
        <v>186</v>
      </c>
      <c r="BB182" s="31">
        <f>AS182</f>
        <v>955.83</v>
      </c>
      <c r="BC182" s="31">
        <f t="shared" ref="BC182:BD182" si="97">AT182</f>
        <v>907.23</v>
      </c>
      <c r="BD182" s="31">
        <f t="shared" si="97"/>
        <v>961.56</v>
      </c>
    </row>
    <row r="183" spans="1:70" x14ac:dyDescent="0.3">
      <c r="A183"/>
      <c r="B183"/>
      <c r="C183"/>
      <c r="D183"/>
      <c r="E183"/>
      <c r="F183"/>
      <c r="G183"/>
      <c r="H183"/>
      <c r="I183"/>
      <c r="J183"/>
      <c r="K183"/>
      <c r="L183"/>
      <c r="M183"/>
      <c r="N183"/>
      <c r="O183"/>
      <c r="P183" s="87"/>
      <c r="Q183" s="87"/>
      <c r="R183" s="87"/>
      <c r="S183"/>
      <c r="T183"/>
      <c r="U183"/>
      <c r="V183"/>
      <c r="W183"/>
      <c r="X183"/>
      <c r="Y183"/>
      <c r="Z183"/>
      <c r="AA183"/>
      <c r="AB183"/>
      <c r="AC183"/>
      <c r="AD183"/>
      <c r="AE183"/>
      <c r="AF183"/>
      <c r="AG183"/>
      <c r="AH183"/>
      <c r="AI183"/>
      <c r="AJ183"/>
      <c r="AK183"/>
      <c r="AL183"/>
      <c r="AM183"/>
      <c r="AN183"/>
      <c r="AO183"/>
      <c r="AU183" s="53"/>
      <c r="AW183" s="53"/>
      <c r="AX183" s="53"/>
      <c r="BA183" s="52" t="s">
        <v>187</v>
      </c>
      <c r="BB183" s="88">
        <f>AS185</f>
        <v>3271.7</v>
      </c>
      <c r="BC183" s="88">
        <f t="shared" ref="BC183:BD183" si="98">AT185</f>
        <v>3044.7</v>
      </c>
      <c r="BD183" s="88">
        <f t="shared" si="98"/>
        <v>3102.1</v>
      </c>
    </row>
    <row r="184" spans="1:70" s="2" customFormat="1" ht="18" customHeight="1" x14ac:dyDescent="0.3">
      <c r="A184" s="8" t="s">
        <v>188</v>
      </c>
      <c r="C184" s="9">
        <v>2018</v>
      </c>
      <c r="D184" s="9">
        <v>2019</v>
      </c>
      <c r="E184" s="9">
        <v>2020</v>
      </c>
      <c r="F184" s="10">
        <v>2021</v>
      </c>
      <c r="G184" s="11">
        <v>2022</v>
      </c>
      <c r="H184" s="12">
        <v>2023</v>
      </c>
      <c r="I184" s="13">
        <v>2024</v>
      </c>
      <c r="J184" s="14">
        <v>2025</v>
      </c>
      <c r="K184" s="15" t="s">
        <v>7</v>
      </c>
      <c r="L184" s="89"/>
      <c r="M184" s="89"/>
      <c r="N184" s="8" t="s">
        <v>188</v>
      </c>
      <c r="P184" s="90" t="s">
        <v>189</v>
      </c>
      <c r="Q184" s="91" t="s">
        <v>190</v>
      </c>
      <c r="R184" s="90" t="s">
        <v>191</v>
      </c>
      <c r="S184" s="18" t="s">
        <v>192</v>
      </c>
      <c r="T184" s="18" t="s">
        <v>193</v>
      </c>
      <c r="U184" s="19" t="s">
        <v>194</v>
      </c>
      <c r="V184" s="18" t="s">
        <v>195</v>
      </c>
      <c r="W184" s="18" t="s">
        <v>196</v>
      </c>
      <c r="X184" s="18" t="s">
        <v>197</v>
      </c>
      <c r="Y184" s="19" t="s">
        <v>198</v>
      </c>
      <c r="Z184" s="18" t="s">
        <v>199</v>
      </c>
      <c r="AA184" s="18" t="s">
        <v>200</v>
      </c>
      <c r="AB184" s="18" t="s">
        <v>201</v>
      </c>
      <c r="AC184" s="19" t="s">
        <v>202</v>
      </c>
      <c r="AD184" s="18" t="s">
        <v>203</v>
      </c>
      <c r="AE184" s="18" t="s">
        <v>204</v>
      </c>
      <c r="AF184" s="18" t="s">
        <v>205</v>
      </c>
      <c r="AG184" s="19" t="s">
        <v>206</v>
      </c>
      <c r="AH184" s="18" t="s">
        <v>207</v>
      </c>
      <c r="AI184" s="18" t="s">
        <v>208</v>
      </c>
      <c r="AJ184" s="18" t="s">
        <v>209</v>
      </c>
      <c r="AK184" s="19" t="s">
        <v>210</v>
      </c>
      <c r="AL184" s="18" t="s">
        <v>211</v>
      </c>
      <c r="AM184" s="18" t="s">
        <v>212</v>
      </c>
      <c r="AN184" s="18" t="s">
        <v>213</v>
      </c>
      <c r="AO184" s="19" t="s">
        <v>214</v>
      </c>
      <c r="AP184" s="18" t="s">
        <v>215</v>
      </c>
      <c r="AQ184" s="18" t="s">
        <v>216</v>
      </c>
      <c r="AR184" s="18" t="s">
        <v>217</v>
      </c>
      <c r="AS184" s="19" t="s">
        <v>218</v>
      </c>
      <c r="AT184" s="18" t="s">
        <v>219</v>
      </c>
      <c r="AU184" s="18" t="s">
        <v>220</v>
      </c>
      <c r="AV184" s="18"/>
      <c r="AW184" s="8" t="s">
        <v>188</v>
      </c>
      <c r="AX184" s="33"/>
      <c r="AZ184" s="9"/>
      <c r="BA184" s="33" t="s">
        <v>221</v>
      </c>
      <c r="BB184" s="74">
        <f>AS188</f>
        <v>3063.39</v>
      </c>
      <c r="BC184" s="74">
        <f t="shared" ref="BC184:BD184" si="99">AT188</f>
        <v>2793.58</v>
      </c>
      <c r="BD184" s="74">
        <f t="shared" si="99"/>
        <v>2983.51</v>
      </c>
    </row>
    <row r="185" spans="1:70" s="2" customFormat="1" ht="18" customHeight="1" x14ac:dyDescent="0.3">
      <c r="A185" s="25" t="s">
        <v>41</v>
      </c>
      <c r="B185" s="2" t="s">
        <v>42</v>
      </c>
      <c r="C185" s="51">
        <v>8080</v>
      </c>
      <c r="D185" s="51">
        <v>8510</v>
      </c>
      <c r="E185" s="51">
        <v>7806</v>
      </c>
      <c r="F185" s="51">
        <v>7196</v>
      </c>
      <c r="G185" s="28">
        <v>9630.1</v>
      </c>
      <c r="H185" s="28">
        <v>10487.8</v>
      </c>
      <c r="I185" s="36">
        <v>11390</v>
      </c>
      <c r="J185" s="28">
        <v>12076.7</v>
      </c>
      <c r="K185" s="92">
        <v>12576.5</v>
      </c>
      <c r="L185" s="36"/>
      <c r="M185" s="36"/>
      <c r="N185" s="25" t="s">
        <v>41</v>
      </c>
      <c r="O185" s="2" t="s">
        <v>42</v>
      </c>
      <c r="P185" s="30">
        <v>2128</v>
      </c>
      <c r="Q185" s="30">
        <v>2134</v>
      </c>
      <c r="R185" s="30">
        <v>2061</v>
      </c>
      <c r="S185" s="2">
        <v>1973</v>
      </c>
      <c r="T185" s="31">
        <v>2250</v>
      </c>
      <c r="U185" s="30">
        <v>2229.1</v>
      </c>
      <c r="V185" s="30">
        <v>2133.9</v>
      </c>
      <c r="W185" s="30">
        <v>2056.4</v>
      </c>
      <c r="X185" s="30">
        <v>2346.5</v>
      </c>
      <c r="Y185" s="30">
        <v>1270.0999999999999</v>
      </c>
      <c r="Z185" s="30">
        <v>1527.4</v>
      </c>
      <c r="AA185" s="30">
        <v>1656.5</v>
      </c>
      <c r="AB185" s="30">
        <v>1733</v>
      </c>
      <c r="AC185" s="30">
        <v>2279.1999999999998</v>
      </c>
      <c r="AD185" s="30">
        <v>2306</v>
      </c>
      <c r="AE185" s="30">
        <v>2272.1999999999998</v>
      </c>
      <c r="AF185" s="2">
        <v>2448.9</v>
      </c>
      <c r="AG185" s="30">
        <v>2603</v>
      </c>
      <c r="AH185" s="30">
        <v>2446.1</v>
      </c>
      <c r="AI185" s="30">
        <v>2486.5</v>
      </c>
      <c r="AJ185" s="2">
        <v>2786.2</v>
      </c>
      <c r="AK185" s="30">
        <v>2768.9999999999991</v>
      </c>
      <c r="AL185" s="30">
        <v>2730.6</v>
      </c>
      <c r="AM185" s="30">
        <v>2727.3</v>
      </c>
      <c r="AN185" s="30">
        <v>2974.8</v>
      </c>
      <c r="AO185" s="30">
        <v>2957.3</v>
      </c>
      <c r="AP185" s="30">
        <v>2757</v>
      </c>
      <c r="AQ185" s="30">
        <v>2890</v>
      </c>
      <c r="AR185" s="30">
        <v>3158</v>
      </c>
      <c r="AS185" s="30">
        <v>3271.7</v>
      </c>
      <c r="AT185" s="30">
        <v>3044.7</v>
      </c>
      <c r="AU185" s="30">
        <v>3102.1</v>
      </c>
      <c r="AW185" s="33" t="s">
        <v>42</v>
      </c>
      <c r="AX185" s="33" t="s">
        <v>41</v>
      </c>
      <c r="AZ185" s="93"/>
      <c r="BA185" s="33" t="s">
        <v>222</v>
      </c>
      <c r="BB185" s="74">
        <f>AS191</f>
        <v>39315</v>
      </c>
      <c r="BC185" s="74">
        <f t="shared" ref="BC185:BD185" si="100">AT191</f>
        <v>40426</v>
      </c>
      <c r="BD185" s="74">
        <f t="shared" si="100"/>
        <v>39996</v>
      </c>
    </row>
    <row r="186" spans="1:70" x14ac:dyDescent="0.3">
      <c r="A186"/>
      <c r="B186"/>
      <c r="C186"/>
      <c r="D186"/>
      <c r="E186"/>
      <c r="F186"/>
      <c r="G186"/>
      <c r="H186"/>
      <c r="I186"/>
      <c r="J186" s="31"/>
      <c r="K186"/>
      <c r="L186"/>
      <c r="M186"/>
      <c r="N186"/>
      <c r="O186"/>
      <c r="P186" s="94"/>
      <c r="Q186" s="94"/>
      <c r="R186" s="94"/>
      <c r="S186"/>
      <c r="T186"/>
      <c r="U186"/>
      <c r="V186"/>
      <c r="W186"/>
      <c r="X186"/>
      <c r="Y186"/>
      <c r="Z186"/>
      <c r="AA186"/>
      <c r="AB186"/>
      <c r="AC186"/>
      <c r="AD186"/>
      <c r="AE186"/>
      <c r="AF186"/>
      <c r="AG186"/>
      <c r="AH186"/>
      <c r="AI186"/>
      <c r="AJ186"/>
      <c r="AK186"/>
      <c r="AL186"/>
      <c r="AM186"/>
      <c r="AN186"/>
      <c r="AO186"/>
      <c r="AW186" s="53"/>
      <c r="AX186" s="53"/>
      <c r="BA186" s="33" t="s">
        <v>223</v>
      </c>
      <c r="BB186" s="95">
        <f>AS194</f>
        <v>12535</v>
      </c>
      <c r="BC186" s="95">
        <f t="shared" ref="BC186:BD186" si="101">AT194</f>
        <v>12455</v>
      </c>
      <c r="BD186" s="95">
        <f t="shared" si="101"/>
        <v>11822</v>
      </c>
    </row>
    <row r="187" spans="1:70" s="2" customFormat="1" ht="18" customHeight="1" x14ac:dyDescent="0.3">
      <c r="A187" s="8" t="s">
        <v>224</v>
      </c>
      <c r="C187" s="9">
        <v>2018</v>
      </c>
      <c r="D187" s="9">
        <v>2019</v>
      </c>
      <c r="E187" s="9">
        <v>2020</v>
      </c>
      <c r="F187" s="73">
        <v>2021</v>
      </c>
      <c r="G187" s="11">
        <v>2022</v>
      </c>
      <c r="H187" s="12">
        <v>2023</v>
      </c>
      <c r="I187" s="13">
        <v>2024</v>
      </c>
      <c r="J187" s="14">
        <v>2025</v>
      </c>
      <c r="K187" s="84"/>
      <c r="L187" s="84"/>
      <c r="M187" s="84"/>
      <c r="N187" s="8" t="s">
        <v>224</v>
      </c>
      <c r="P187" s="90" t="s">
        <v>119</v>
      </c>
      <c r="Q187" s="90" t="s">
        <v>120</v>
      </c>
      <c r="R187" s="90" t="s">
        <v>11</v>
      </c>
      <c r="S187" s="19" t="s">
        <v>90</v>
      </c>
      <c r="T187" s="18" t="s">
        <v>13</v>
      </c>
      <c r="U187" s="18" t="s">
        <v>14</v>
      </c>
      <c r="V187" s="18" t="s">
        <v>91</v>
      </c>
      <c r="W187" s="19" t="s">
        <v>92</v>
      </c>
      <c r="X187" s="18" t="s">
        <v>93</v>
      </c>
      <c r="Y187" s="18" t="s">
        <v>94</v>
      </c>
      <c r="Z187" s="18" t="s">
        <v>95</v>
      </c>
      <c r="AA187" s="19" t="s">
        <v>96</v>
      </c>
      <c r="AB187" s="18" t="s">
        <v>97</v>
      </c>
      <c r="AC187" s="18" t="s">
        <v>98</v>
      </c>
      <c r="AD187" s="18" t="s">
        <v>99</v>
      </c>
      <c r="AE187" s="19" t="s">
        <v>100</v>
      </c>
      <c r="AF187" s="18" t="s">
        <v>101</v>
      </c>
      <c r="AG187" s="18" t="s">
        <v>102</v>
      </c>
      <c r="AH187" s="18" t="s">
        <v>103</v>
      </c>
      <c r="AI187" s="19" t="s">
        <v>104</v>
      </c>
      <c r="AJ187" s="18" t="s">
        <v>105</v>
      </c>
      <c r="AK187" s="18" t="s">
        <v>106</v>
      </c>
      <c r="AL187" s="18" t="s">
        <v>107</v>
      </c>
      <c r="AM187" s="19" t="s">
        <v>32</v>
      </c>
      <c r="AN187" s="18" t="s">
        <v>33</v>
      </c>
      <c r="AO187" s="18" t="s">
        <v>34</v>
      </c>
      <c r="AP187" s="18" t="s">
        <v>108</v>
      </c>
      <c r="AQ187" s="19" t="s">
        <v>109</v>
      </c>
      <c r="AR187" s="18" t="s">
        <v>110</v>
      </c>
      <c r="AS187" s="18" t="s">
        <v>111</v>
      </c>
      <c r="AT187" s="18" t="s">
        <v>108</v>
      </c>
      <c r="AU187" s="19" t="s">
        <v>112</v>
      </c>
      <c r="AV187" s="18"/>
      <c r="AW187" s="8" t="s">
        <v>224</v>
      </c>
      <c r="AX187" s="33"/>
      <c r="AZ187" s="96"/>
      <c r="BA187" s="33" t="s">
        <v>225</v>
      </c>
      <c r="BB187" s="31">
        <f>AS197</f>
        <v>22726</v>
      </c>
      <c r="BC187" s="31">
        <f t="shared" ref="BC187:BD187" si="102">AT197</f>
        <v>23937</v>
      </c>
      <c r="BD187" s="31">
        <f t="shared" si="102"/>
        <v>29343</v>
      </c>
    </row>
    <row r="188" spans="1:70" s="2" customFormat="1" ht="18" customHeight="1" x14ac:dyDescent="0.3">
      <c r="A188" s="25" t="s">
        <v>41</v>
      </c>
      <c r="B188" s="2" t="s">
        <v>42</v>
      </c>
      <c r="C188" s="51">
        <v>4865</v>
      </c>
      <c r="D188" s="51">
        <v>5586</v>
      </c>
      <c r="E188" s="51">
        <v>5985</v>
      </c>
      <c r="F188" s="64">
        <v>7547.07</v>
      </c>
      <c r="G188" s="64">
        <v>8634.66</v>
      </c>
      <c r="H188" s="64">
        <v>9871.65</v>
      </c>
      <c r="I188" s="36">
        <v>11313.859999999999</v>
      </c>
      <c r="J188" s="28">
        <v>11715.73</v>
      </c>
      <c r="K188" s="36"/>
      <c r="L188" s="36"/>
      <c r="M188" s="36"/>
      <c r="N188" s="25" t="s">
        <v>41</v>
      </c>
      <c r="O188" s="2" t="s">
        <v>42</v>
      </c>
      <c r="P188" s="30">
        <v>1148</v>
      </c>
      <c r="Q188" s="30">
        <v>1267</v>
      </c>
      <c r="R188" s="30">
        <v>1225</v>
      </c>
      <c r="S188" s="30">
        <v>1230</v>
      </c>
      <c r="T188" s="30">
        <v>1308.22</v>
      </c>
      <c r="U188" s="30">
        <v>1434.23</v>
      </c>
      <c r="V188" s="30">
        <v>1403.7</v>
      </c>
      <c r="W188" s="30">
        <v>1440.22</v>
      </c>
      <c r="X188" s="30">
        <v>1410.77</v>
      </c>
      <c r="Y188" s="30">
        <v>1364.74</v>
      </c>
      <c r="Z188" s="30">
        <v>1601.41</v>
      </c>
      <c r="AA188" s="30">
        <v>1607.71</v>
      </c>
      <c r="AB188" s="30">
        <v>1741.58</v>
      </c>
      <c r="AC188" s="30">
        <v>1892.54</v>
      </c>
      <c r="AD188" s="30">
        <v>1952.32</v>
      </c>
      <c r="AE188" s="30">
        <v>1960.63</v>
      </c>
      <c r="AF188" s="30">
        <v>2020.54</v>
      </c>
      <c r="AG188" s="30">
        <v>2213.34</v>
      </c>
      <c r="AH188" s="30">
        <v>2220.1799999999998</v>
      </c>
      <c r="AI188" s="30">
        <v>2180.6</v>
      </c>
      <c r="AJ188" s="30">
        <v>2368.58</v>
      </c>
      <c r="AK188" s="30">
        <v>2514.8000000000002</v>
      </c>
      <c r="AL188" s="30">
        <v>2471.9499999999998</v>
      </c>
      <c r="AM188" s="30">
        <v>2516.3200000000002</v>
      </c>
      <c r="AN188" s="30">
        <v>2701.85</v>
      </c>
      <c r="AO188" s="30">
        <v>2973.12</v>
      </c>
      <c r="AP188" s="30">
        <v>2793.58</v>
      </c>
      <c r="AQ188" s="30">
        <v>2845.31</v>
      </c>
      <c r="AR188" s="30">
        <v>2875.25</v>
      </c>
      <c r="AS188" s="30">
        <v>3063.39</v>
      </c>
      <c r="AT188" s="30">
        <v>2793.58</v>
      </c>
      <c r="AU188" s="30">
        <v>2983.51</v>
      </c>
      <c r="AV188" s="30"/>
      <c r="AW188" s="33" t="s">
        <v>42</v>
      </c>
      <c r="AX188" s="33" t="s">
        <v>41</v>
      </c>
      <c r="AZ188" s="33"/>
      <c r="BA188" s="33" t="s">
        <v>226</v>
      </c>
      <c r="BB188" s="74">
        <f>AS200</f>
        <v>2111.5929999999998</v>
      </c>
      <c r="BC188" s="74">
        <f t="shared" ref="BC188:BD188" si="103">AT200</f>
        <v>2197.14</v>
      </c>
      <c r="BD188" s="74">
        <f t="shared" si="103"/>
        <v>2131.0500000000002</v>
      </c>
    </row>
    <row r="189" spans="1:70" x14ac:dyDescent="0.3">
      <c r="A189"/>
      <c r="B189"/>
      <c r="C189"/>
      <c r="D189"/>
      <c r="E189"/>
      <c r="F189"/>
      <c r="G189"/>
      <c r="H189"/>
      <c r="I189"/>
      <c r="J189" s="31"/>
      <c r="K189"/>
      <c r="L189"/>
      <c r="M189"/>
      <c r="N189"/>
      <c r="O189"/>
      <c r="P189" s="94"/>
      <c r="Q189" s="94"/>
      <c r="R189" s="94"/>
      <c r="S189"/>
      <c r="T189"/>
      <c r="U189"/>
      <c r="V189"/>
      <c r="W189"/>
      <c r="X189"/>
      <c r="Y189"/>
      <c r="Z189"/>
      <c r="AA189"/>
      <c r="AB189"/>
      <c r="AC189"/>
      <c r="AD189"/>
      <c r="AE189"/>
      <c r="AF189"/>
      <c r="AG189"/>
      <c r="AH189"/>
      <c r="AI189"/>
      <c r="AJ189"/>
      <c r="AK189"/>
      <c r="AL189"/>
      <c r="AM189"/>
      <c r="AN189"/>
      <c r="AO189"/>
      <c r="AW189" s="53"/>
      <c r="AX189" s="53"/>
      <c r="BA189" s="33" t="s">
        <v>227</v>
      </c>
      <c r="BB189" s="95">
        <f>AS203</f>
        <v>415.81</v>
      </c>
      <c r="BC189" s="95">
        <f t="shared" ref="BC189:BD189" si="104">AT203</f>
        <v>423.58</v>
      </c>
      <c r="BD189" s="95">
        <f t="shared" si="104"/>
        <v>443.61</v>
      </c>
    </row>
    <row r="190" spans="1:70" s="2" customFormat="1" ht="18" customHeight="1" x14ac:dyDescent="0.3">
      <c r="A190" s="8" t="s">
        <v>228</v>
      </c>
      <c r="C190" s="9">
        <v>2018</v>
      </c>
      <c r="D190" s="9">
        <v>2019</v>
      </c>
      <c r="E190" s="9">
        <v>2020</v>
      </c>
      <c r="F190" s="10">
        <v>2021</v>
      </c>
      <c r="G190" s="11">
        <v>2022</v>
      </c>
      <c r="H190" s="12">
        <v>2023</v>
      </c>
      <c r="I190" s="13">
        <v>2024</v>
      </c>
      <c r="J190" s="14">
        <v>2025</v>
      </c>
      <c r="K190" s="15" t="s">
        <v>7</v>
      </c>
      <c r="L190" s="89"/>
      <c r="M190" s="89"/>
      <c r="N190" s="8" t="s">
        <v>228</v>
      </c>
      <c r="P190" s="91" t="s">
        <v>189</v>
      </c>
      <c r="Q190" s="90" t="s">
        <v>190</v>
      </c>
      <c r="R190" s="90" t="s">
        <v>191</v>
      </c>
      <c r="S190" s="18" t="s">
        <v>192</v>
      </c>
      <c r="T190" s="19" t="s">
        <v>229</v>
      </c>
      <c r="U190" s="18" t="s">
        <v>230</v>
      </c>
      <c r="V190" s="18" t="s">
        <v>231</v>
      </c>
      <c r="W190" s="18" t="s">
        <v>232</v>
      </c>
      <c r="X190" s="18" t="s">
        <v>233</v>
      </c>
      <c r="Y190" s="18" t="s">
        <v>198</v>
      </c>
      <c r="Z190" s="18" t="s">
        <v>234</v>
      </c>
      <c r="AA190" s="18" t="s">
        <v>235</v>
      </c>
      <c r="AB190" s="19" t="s">
        <v>201</v>
      </c>
      <c r="AC190" s="18" t="s">
        <v>236</v>
      </c>
      <c r="AD190" s="18" t="s">
        <v>237</v>
      </c>
      <c r="AE190" s="18" t="s">
        <v>238</v>
      </c>
      <c r="AF190" s="19" t="s">
        <v>239</v>
      </c>
      <c r="AG190" s="18" t="s">
        <v>206</v>
      </c>
      <c r="AH190" s="18" t="s">
        <v>240</v>
      </c>
      <c r="AI190" s="97" t="s">
        <v>241</v>
      </c>
      <c r="AJ190" s="19" t="s">
        <v>242</v>
      </c>
      <c r="AK190" s="18" t="s">
        <v>210</v>
      </c>
      <c r="AL190" s="18" t="s">
        <v>243</v>
      </c>
      <c r="AM190" s="97" t="s">
        <v>244</v>
      </c>
      <c r="AN190" s="19" t="s">
        <v>245</v>
      </c>
      <c r="AO190" s="18" t="s">
        <v>246</v>
      </c>
      <c r="AP190" s="18" t="s">
        <v>247</v>
      </c>
      <c r="AQ190" s="97" t="s">
        <v>248</v>
      </c>
      <c r="AR190" s="19" t="s">
        <v>249</v>
      </c>
      <c r="AS190" s="18" t="s">
        <v>246</v>
      </c>
      <c r="AT190" s="18" t="s">
        <v>250</v>
      </c>
      <c r="AU190" s="97" t="s">
        <v>248</v>
      </c>
      <c r="AV190" s="97"/>
      <c r="AW190" s="8" t="s">
        <v>228</v>
      </c>
      <c r="AX190" s="33"/>
      <c r="AY190" s="98"/>
      <c r="AZ190" s="9"/>
      <c r="BA190" s="33" t="s">
        <v>251</v>
      </c>
      <c r="BB190" s="31">
        <f>AS207</f>
        <v>2522.5</v>
      </c>
      <c r="BC190" s="31">
        <f t="shared" ref="BC190:BD190" si="105">AT207</f>
        <v>2438</v>
      </c>
      <c r="BD190" s="31">
        <f t="shared" si="105"/>
        <v>2438</v>
      </c>
      <c r="BF190" s="23"/>
      <c r="BH190" s="24"/>
    </row>
    <row r="191" spans="1:70" s="2" customFormat="1" ht="18" customHeight="1" x14ac:dyDescent="0.3">
      <c r="A191" s="25" t="s">
        <v>252</v>
      </c>
      <c r="B191" s="2" t="s">
        <v>42</v>
      </c>
      <c r="C191" s="51">
        <v>131182</v>
      </c>
      <c r="D191" s="51">
        <v>129216</v>
      </c>
      <c r="E191" s="51">
        <v>131193</v>
      </c>
      <c r="F191" s="51">
        <v>96141</v>
      </c>
      <c r="G191" s="28">
        <v>109363</v>
      </c>
      <c r="H191" s="28">
        <v>126864</v>
      </c>
      <c r="I191" s="28">
        <v>140629</v>
      </c>
      <c r="J191" s="28">
        <v>148822</v>
      </c>
      <c r="K191" s="92">
        <v>156128</v>
      </c>
      <c r="L191" s="36"/>
      <c r="M191" s="36"/>
      <c r="N191" s="25" t="s">
        <v>252</v>
      </c>
      <c r="O191" s="2" t="s">
        <v>42</v>
      </c>
      <c r="P191" s="30">
        <v>22077.872340425532</v>
      </c>
      <c r="Q191" s="30">
        <v>23612.666666666668</v>
      </c>
      <c r="R191" s="30">
        <v>24626.25</v>
      </c>
      <c r="S191" s="30">
        <v>31620</v>
      </c>
      <c r="T191" s="30">
        <v>31431</v>
      </c>
      <c r="U191" s="30">
        <v>32901</v>
      </c>
      <c r="V191" s="30">
        <v>34007</v>
      </c>
      <c r="W191" s="30">
        <v>32588</v>
      </c>
      <c r="X191" s="30">
        <v>31697</v>
      </c>
      <c r="Y191" s="30">
        <v>18902</v>
      </c>
      <c r="Z191" s="30">
        <v>25376</v>
      </c>
      <c r="AA191" s="30">
        <v>27181</v>
      </c>
      <c r="AB191" s="30">
        <v>24682</v>
      </c>
      <c r="AC191" s="30">
        <v>26541</v>
      </c>
      <c r="AD191" s="30">
        <v>27198</v>
      </c>
      <c r="AE191" s="30">
        <v>28167</v>
      </c>
      <c r="AF191" s="30">
        <v>27457</v>
      </c>
      <c r="AG191" s="30">
        <v>30540</v>
      </c>
      <c r="AH191" s="30">
        <v>31595</v>
      </c>
      <c r="AI191" s="30">
        <v>32324</v>
      </c>
      <c r="AJ191" s="30">
        <v>32405</v>
      </c>
      <c r="AK191" s="30">
        <v>35180</v>
      </c>
      <c r="AL191" s="30">
        <v>35785</v>
      </c>
      <c r="AM191" s="30">
        <v>35273</v>
      </c>
      <c r="AN191" s="30">
        <v>34391</v>
      </c>
      <c r="AO191" s="30">
        <v>36906</v>
      </c>
      <c r="AP191" s="30">
        <v>38357</v>
      </c>
      <c r="AQ191" s="30">
        <v>37168</v>
      </c>
      <c r="AR191" s="30">
        <v>36391</v>
      </c>
      <c r="AS191" s="30">
        <v>39315</v>
      </c>
      <c r="AT191" s="30">
        <v>40426</v>
      </c>
      <c r="AU191" s="30">
        <v>39996</v>
      </c>
      <c r="AV191" s="30"/>
      <c r="AW191" s="33" t="s">
        <v>42</v>
      </c>
      <c r="AX191" s="33" t="s">
        <v>252</v>
      </c>
      <c r="AY191" s="98"/>
      <c r="AZ191" s="33"/>
      <c r="BA191" s="33"/>
      <c r="BB191" s="35"/>
      <c r="BC191" s="41"/>
      <c r="BD191" s="41"/>
      <c r="BE191" s="99"/>
      <c r="BF191" s="23"/>
      <c r="BG191" s="100"/>
      <c r="BH191" s="100"/>
      <c r="BI191" s="100"/>
      <c r="BL191" s="100"/>
      <c r="BM191" s="100"/>
      <c r="BN191" s="100"/>
      <c r="BP191" s="100"/>
      <c r="BQ191" s="100"/>
      <c r="BR191" s="100"/>
    </row>
    <row r="192" spans="1:70" x14ac:dyDescent="0.3">
      <c r="A192"/>
      <c r="B192"/>
      <c r="C192"/>
      <c r="D192"/>
      <c r="E192"/>
      <c r="F192"/>
      <c r="G192"/>
      <c r="H192"/>
      <c r="I192"/>
      <c r="J192"/>
      <c r="K192"/>
      <c r="L192"/>
      <c r="M192"/>
      <c r="N192"/>
      <c r="O192"/>
      <c r="P192" s="94"/>
      <c r="Q192" s="94"/>
      <c r="R192" s="94"/>
      <c r="S192" s="94"/>
      <c r="T192"/>
      <c r="U192"/>
      <c r="V192"/>
      <c r="W192"/>
      <c r="X192"/>
      <c r="Y192"/>
      <c r="Z192"/>
      <c r="AA192"/>
      <c r="AB192"/>
      <c r="AC192"/>
      <c r="AD192"/>
      <c r="AE192"/>
      <c r="AF192"/>
      <c r="AG192"/>
      <c r="AH192"/>
      <c r="AI192"/>
      <c r="AJ192"/>
      <c r="AK192"/>
      <c r="AL192"/>
      <c r="AM192"/>
      <c r="AN192"/>
      <c r="AO192"/>
      <c r="AW192" s="53"/>
      <c r="AX192" s="53"/>
      <c r="BA192" s="33"/>
    </row>
    <row r="193" spans="1:70" s="2" customFormat="1" ht="18" customHeight="1" x14ac:dyDescent="0.3">
      <c r="A193" s="8" t="s">
        <v>253</v>
      </c>
      <c r="C193" s="9">
        <v>2018</v>
      </c>
      <c r="D193" s="9">
        <v>2019</v>
      </c>
      <c r="E193" s="9">
        <v>2020</v>
      </c>
      <c r="F193" s="101">
        <v>2021</v>
      </c>
      <c r="G193" s="11">
        <v>2022</v>
      </c>
      <c r="H193" s="12">
        <v>2023</v>
      </c>
      <c r="I193" s="13">
        <v>2024</v>
      </c>
      <c r="J193" s="14">
        <v>2025</v>
      </c>
      <c r="K193" s="84"/>
      <c r="L193" s="84"/>
      <c r="M193" s="84"/>
      <c r="N193" s="8" t="s">
        <v>253</v>
      </c>
      <c r="P193" s="90" t="s">
        <v>119</v>
      </c>
      <c r="Q193" s="90" t="s">
        <v>120</v>
      </c>
      <c r="R193" s="90" t="s">
        <v>11</v>
      </c>
      <c r="S193" s="19" t="s">
        <v>90</v>
      </c>
      <c r="T193" s="18" t="s">
        <v>254</v>
      </c>
      <c r="U193" s="18" t="s">
        <v>255</v>
      </c>
      <c r="V193" s="18" t="s">
        <v>256</v>
      </c>
      <c r="W193" s="19" t="s">
        <v>92</v>
      </c>
      <c r="X193" s="18" t="s">
        <v>257</v>
      </c>
      <c r="Y193" s="18" t="s">
        <v>258</v>
      </c>
      <c r="Z193" s="18" t="s">
        <v>259</v>
      </c>
      <c r="AA193" s="19" t="s">
        <v>96</v>
      </c>
      <c r="AB193" s="18" t="s">
        <v>260</v>
      </c>
      <c r="AC193" s="18" t="s">
        <v>261</v>
      </c>
      <c r="AD193" s="18" t="s">
        <v>262</v>
      </c>
      <c r="AE193" s="19" t="s">
        <v>100</v>
      </c>
      <c r="AF193" s="18" t="s">
        <v>263</v>
      </c>
      <c r="AG193" s="18" t="s">
        <v>264</v>
      </c>
      <c r="AH193" s="18" t="s">
        <v>103</v>
      </c>
      <c r="AI193" s="19" t="s">
        <v>104</v>
      </c>
      <c r="AJ193" s="18" t="s">
        <v>105</v>
      </c>
      <c r="AK193" s="18" t="s">
        <v>106</v>
      </c>
      <c r="AL193" s="18" t="s">
        <v>107</v>
      </c>
      <c r="AM193" s="19" t="s">
        <v>32</v>
      </c>
      <c r="AN193" s="18" t="s">
        <v>33</v>
      </c>
      <c r="AO193" s="18" t="s">
        <v>265</v>
      </c>
      <c r="AP193" s="18" t="s">
        <v>266</v>
      </c>
      <c r="AQ193" s="19" t="s">
        <v>109</v>
      </c>
      <c r="AR193" s="18" t="s">
        <v>267</v>
      </c>
      <c r="AS193" s="18" t="s">
        <v>268</v>
      </c>
      <c r="AT193" s="18" t="s">
        <v>269</v>
      </c>
      <c r="AU193" s="19" t="s">
        <v>112</v>
      </c>
      <c r="AV193" s="18"/>
      <c r="AW193" s="8" t="s">
        <v>253</v>
      </c>
      <c r="AX193" s="33"/>
      <c r="AY193" s="98"/>
      <c r="AZ193" s="9"/>
      <c r="BA193" s="33"/>
      <c r="BB193" s="98"/>
      <c r="BC193" s="98"/>
      <c r="BD193" s="98"/>
      <c r="BF193" s="23"/>
      <c r="BH193" s="24"/>
    </row>
    <row r="194" spans="1:70" s="2" customFormat="1" ht="18" customHeight="1" x14ac:dyDescent="0.3">
      <c r="A194" s="25" t="s">
        <v>41</v>
      </c>
      <c r="B194" s="2" t="s">
        <v>42</v>
      </c>
      <c r="C194" s="36">
        <v>31856</v>
      </c>
      <c r="D194" s="36">
        <v>37266</v>
      </c>
      <c r="E194" s="36">
        <v>33014</v>
      </c>
      <c r="F194" s="27">
        <v>38655</v>
      </c>
      <c r="G194" s="64">
        <v>43004</v>
      </c>
      <c r="H194" s="64">
        <v>45754</v>
      </c>
      <c r="I194" s="36">
        <v>47061</v>
      </c>
      <c r="J194" s="28">
        <v>47941</v>
      </c>
      <c r="K194" s="36"/>
      <c r="L194" s="36"/>
      <c r="M194" s="36"/>
      <c r="N194" s="25" t="s">
        <v>41</v>
      </c>
      <c r="O194" s="2" t="s">
        <v>42</v>
      </c>
      <c r="P194" s="30">
        <v>7626</v>
      </c>
      <c r="Q194" s="30">
        <v>9421</v>
      </c>
      <c r="R194" s="30">
        <v>8775</v>
      </c>
      <c r="S194" s="36">
        <v>7060</v>
      </c>
      <c r="T194" s="36">
        <v>8694</v>
      </c>
      <c r="U194" s="36">
        <v>9997</v>
      </c>
      <c r="V194" s="36">
        <v>9507</v>
      </c>
      <c r="W194" s="36">
        <v>9068</v>
      </c>
      <c r="X194" s="36">
        <v>8601</v>
      </c>
      <c r="Y194" s="36">
        <v>7150</v>
      </c>
      <c r="Z194" s="36">
        <v>8652</v>
      </c>
      <c r="AA194" s="36">
        <v>8611</v>
      </c>
      <c r="AB194" s="36">
        <v>9020</v>
      </c>
      <c r="AC194" s="36">
        <v>10129</v>
      </c>
      <c r="AD194" s="36">
        <v>10129</v>
      </c>
      <c r="AE194" s="36">
        <v>9464</v>
      </c>
      <c r="AF194" s="36">
        <v>10491</v>
      </c>
      <c r="AG194" s="36">
        <v>11325</v>
      </c>
      <c r="AH194" s="36">
        <v>11063</v>
      </c>
      <c r="AI194" s="36">
        <v>10125</v>
      </c>
      <c r="AJ194" s="36">
        <v>10980</v>
      </c>
      <c r="AK194" s="36">
        <v>11972</v>
      </c>
      <c r="AL194" s="36">
        <v>11953</v>
      </c>
      <c r="AM194" s="36">
        <v>10849</v>
      </c>
      <c r="AN194" s="36">
        <v>11300</v>
      </c>
      <c r="AO194" s="36">
        <v>12363</v>
      </c>
      <c r="AP194" s="36">
        <v>11854</v>
      </c>
      <c r="AQ194" s="36">
        <v>11544</v>
      </c>
      <c r="AR194" s="36">
        <v>11129</v>
      </c>
      <c r="AS194" s="36">
        <v>12535</v>
      </c>
      <c r="AT194" s="36">
        <v>12455</v>
      </c>
      <c r="AU194" s="36">
        <v>11822</v>
      </c>
      <c r="AV194" s="36"/>
      <c r="AW194" s="33" t="s">
        <v>42</v>
      </c>
      <c r="AX194" s="33" t="s">
        <v>41</v>
      </c>
      <c r="AY194" s="98"/>
      <c r="AZ194" s="33"/>
      <c r="BA194" s="33"/>
      <c r="BB194" s="35"/>
      <c r="BC194" s="41"/>
      <c r="BD194" s="41"/>
      <c r="BE194" s="99"/>
      <c r="BF194" s="23"/>
      <c r="BG194" s="100"/>
      <c r="BH194" s="100"/>
      <c r="BI194" s="100"/>
      <c r="BL194" s="100"/>
      <c r="BM194" s="100"/>
      <c r="BN194" s="100"/>
      <c r="BP194" s="100"/>
      <c r="BQ194" s="100"/>
      <c r="BR194" s="100"/>
    </row>
    <row r="195" spans="1:70" x14ac:dyDescent="0.3">
      <c r="A195"/>
      <c r="B195"/>
      <c r="C195"/>
      <c r="D195"/>
      <c r="E195"/>
      <c r="F195"/>
      <c r="G195"/>
      <c r="H195"/>
      <c r="I195"/>
      <c r="J195"/>
      <c r="K195"/>
      <c r="L195"/>
      <c r="M195"/>
      <c r="N195"/>
      <c r="O195"/>
      <c r="P195" s="94"/>
      <c r="Q195" s="94"/>
      <c r="R195" s="94"/>
      <c r="S195"/>
      <c r="T195"/>
      <c r="U195"/>
      <c r="V195"/>
      <c r="W195"/>
      <c r="X195"/>
      <c r="Y195"/>
      <c r="Z195"/>
      <c r="AA195"/>
      <c r="AB195"/>
      <c r="AC195"/>
      <c r="AD195"/>
      <c r="AE195"/>
      <c r="AF195"/>
      <c r="AG195"/>
      <c r="AH195"/>
      <c r="AI195"/>
      <c r="AJ195"/>
      <c r="AK195"/>
      <c r="AL195"/>
      <c r="AM195"/>
      <c r="AN195"/>
      <c r="AO195"/>
      <c r="AW195" s="53"/>
      <c r="AX195" s="53"/>
      <c r="BA195" s="33"/>
    </row>
    <row r="196" spans="1:70" s="2" customFormat="1" ht="18" customHeight="1" x14ac:dyDescent="0.3">
      <c r="A196" s="8" t="s">
        <v>270</v>
      </c>
      <c r="C196" s="9">
        <v>2018</v>
      </c>
      <c r="D196" s="9">
        <v>2019</v>
      </c>
      <c r="E196" s="9">
        <v>2020</v>
      </c>
      <c r="F196" s="101">
        <v>2021</v>
      </c>
      <c r="G196" s="11">
        <v>2022</v>
      </c>
      <c r="H196" s="12">
        <v>2023</v>
      </c>
      <c r="I196" s="13">
        <v>2024</v>
      </c>
      <c r="J196" s="14">
        <v>2025</v>
      </c>
      <c r="K196" s="84"/>
      <c r="L196" s="84"/>
      <c r="M196" s="84"/>
      <c r="N196" s="8" t="s">
        <v>270</v>
      </c>
      <c r="P196" s="90" t="s">
        <v>119</v>
      </c>
      <c r="Q196" s="90" t="s">
        <v>120</v>
      </c>
      <c r="R196" s="90" t="s">
        <v>11</v>
      </c>
      <c r="S196" s="19" t="s">
        <v>90</v>
      </c>
      <c r="T196" s="18" t="s">
        <v>271</v>
      </c>
      <c r="U196" s="18" t="s">
        <v>272</v>
      </c>
      <c r="V196" s="18" t="s">
        <v>273</v>
      </c>
      <c r="W196" s="19" t="s">
        <v>274</v>
      </c>
      <c r="X196" s="18" t="s">
        <v>275</v>
      </c>
      <c r="Y196" s="18" t="s">
        <v>276</v>
      </c>
      <c r="Z196" s="18" t="s">
        <v>277</v>
      </c>
      <c r="AA196" s="19" t="s">
        <v>96</v>
      </c>
      <c r="AB196" s="18" t="s">
        <v>278</v>
      </c>
      <c r="AC196" s="18" t="s">
        <v>279</v>
      </c>
      <c r="AD196" s="18" t="s">
        <v>280</v>
      </c>
      <c r="AE196" s="19" t="s">
        <v>281</v>
      </c>
      <c r="AF196" s="18" t="s">
        <v>282</v>
      </c>
      <c r="AG196" s="18" t="s">
        <v>283</v>
      </c>
      <c r="AH196" s="18" t="s">
        <v>284</v>
      </c>
      <c r="AI196" s="19" t="s">
        <v>285</v>
      </c>
      <c r="AJ196" s="18" t="s">
        <v>286</v>
      </c>
      <c r="AK196" s="18" t="s">
        <v>287</v>
      </c>
      <c r="AL196" s="18" t="s">
        <v>288</v>
      </c>
      <c r="AM196" s="19" t="s">
        <v>289</v>
      </c>
      <c r="AN196" s="20" t="s">
        <v>290</v>
      </c>
      <c r="AO196" s="18" t="s">
        <v>291</v>
      </c>
      <c r="AP196" s="18" t="s">
        <v>292</v>
      </c>
      <c r="AQ196" s="19" t="s">
        <v>293</v>
      </c>
      <c r="AR196" s="18" t="s">
        <v>294</v>
      </c>
      <c r="AS196" s="18" t="s">
        <v>295</v>
      </c>
      <c r="AT196" s="18" t="s">
        <v>296</v>
      </c>
      <c r="AU196" s="19" t="s">
        <v>297</v>
      </c>
      <c r="AV196" s="18"/>
      <c r="AW196" s="8" t="s">
        <v>270</v>
      </c>
      <c r="AX196" s="33"/>
      <c r="AZ196" s="33"/>
      <c r="BA196" s="33"/>
      <c r="BB196" s="98"/>
      <c r="BC196" s="98"/>
      <c r="BD196" s="98"/>
    </row>
    <row r="197" spans="1:70" x14ac:dyDescent="0.3">
      <c r="A197" s="25" t="s">
        <v>41</v>
      </c>
      <c r="B197" s="2" t="s">
        <v>42</v>
      </c>
      <c r="C197" s="36">
        <v>64661</v>
      </c>
      <c r="D197" s="36">
        <v>67161</v>
      </c>
      <c r="E197" s="36">
        <v>70372</v>
      </c>
      <c r="F197" s="27">
        <v>79474</v>
      </c>
      <c r="G197" s="64">
        <v>86392</v>
      </c>
      <c r="H197" s="64">
        <v>91471</v>
      </c>
      <c r="I197" s="36">
        <v>91854</v>
      </c>
      <c r="J197" s="28">
        <v>93925</v>
      </c>
      <c r="K197" s="36"/>
      <c r="L197" s="36"/>
      <c r="M197" s="36"/>
      <c r="N197" s="25" t="s">
        <v>41</v>
      </c>
      <c r="O197" s="2" t="s">
        <v>42</v>
      </c>
      <c r="P197" s="30">
        <v>12562</v>
      </c>
      <c r="Q197" s="30">
        <v>16090</v>
      </c>
      <c r="R197" s="30">
        <v>16485</v>
      </c>
      <c r="S197" s="36">
        <v>19520</v>
      </c>
      <c r="T197" s="36">
        <v>12884</v>
      </c>
      <c r="U197" s="36">
        <v>16449</v>
      </c>
      <c r="V197" s="36">
        <v>17188</v>
      </c>
      <c r="W197" s="36">
        <v>20640</v>
      </c>
      <c r="X197" s="36">
        <v>13881</v>
      </c>
      <c r="Y197" s="36">
        <v>15945</v>
      </c>
      <c r="Z197" s="36">
        <v>18091</v>
      </c>
      <c r="AA197" s="36">
        <v>22455</v>
      </c>
      <c r="AB197" s="36">
        <v>14820</v>
      </c>
      <c r="AC197" s="36">
        <v>19217</v>
      </c>
      <c r="AD197" s="36">
        <v>20189</v>
      </c>
      <c r="AE197" s="36">
        <v>25248</v>
      </c>
      <c r="AF197" s="36">
        <v>16200</v>
      </c>
      <c r="AG197" s="36">
        <v>20225</v>
      </c>
      <c r="AH197" s="36">
        <v>21971</v>
      </c>
      <c r="AI197" s="36">
        <v>27996</v>
      </c>
      <c r="AJ197" s="36">
        <v>17846</v>
      </c>
      <c r="AK197" s="36">
        <v>22322</v>
      </c>
      <c r="AL197" s="36">
        <v>23453</v>
      </c>
      <c r="AM197" s="36">
        <v>27850</v>
      </c>
      <c r="AN197" s="37">
        <v>18250</v>
      </c>
      <c r="AO197" s="36">
        <v>22501</v>
      </c>
      <c r="AP197" s="36">
        <v>23319</v>
      </c>
      <c r="AQ197" s="36">
        <v>27784</v>
      </c>
      <c r="AR197" s="36">
        <v>17919</v>
      </c>
      <c r="AS197" s="36">
        <v>22726</v>
      </c>
      <c r="AT197" s="36">
        <v>23937</v>
      </c>
      <c r="AU197" s="36">
        <v>29343</v>
      </c>
      <c r="AV197" s="36"/>
      <c r="AW197" s="33" t="s">
        <v>42</v>
      </c>
      <c r="AX197" s="33" t="s">
        <v>41</v>
      </c>
      <c r="AY197" s="2"/>
      <c r="AZ197" s="33"/>
      <c r="BA197" s="33"/>
      <c r="BB197" s="35"/>
      <c r="BC197" s="41"/>
      <c r="BD197" s="41"/>
    </row>
    <row r="198" spans="1:70" ht="18" customHeight="1" x14ac:dyDescent="0.3">
      <c r="A198"/>
      <c r="B198"/>
      <c r="C198"/>
      <c r="D198"/>
      <c r="E198"/>
      <c r="F198"/>
      <c r="G198"/>
      <c r="H198"/>
      <c r="I198"/>
      <c r="J198"/>
      <c r="K198"/>
      <c r="L198"/>
      <c r="M198"/>
      <c r="N198"/>
      <c r="O198"/>
      <c r="P198" s="94"/>
      <c r="Q198" s="94"/>
      <c r="R198" s="94"/>
      <c r="S198"/>
      <c r="T198"/>
      <c r="U198"/>
      <c r="V198"/>
      <c r="W198"/>
      <c r="X198"/>
      <c r="Y198"/>
      <c r="Z198"/>
      <c r="AA198"/>
      <c r="AB198"/>
      <c r="AC198"/>
      <c r="AD198"/>
      <c r="AE198"/>
      <c r="AF198"/>
      <c r="AG198"/>
      <c r="AH198"/>
      <c r="AI198"/>
      <c r="AJ198"/>
      <c r="AK198"/>
      <c r="AL198"/>
      <c r="AM198"/>
      <c r="AN198"/>
      <c r="AO198"/>
      <c r="AW198" s="53"/>
      <c r="BA198" s="33"/>
    </row>
    <row r="199" spans="1:70" x14ac:dyDescent="0.3">
      <c r="A199" s="8" t="s">
        <v>298</v>
      </c>
      <c r="B199" s="2"/>
      <c r="C199" s="9">
        <v>2018</v>
      </c>
      <c r="D199" s="9">
        <v>2019</v>
      </c>
      <c r="E199" s="9">
        <v>2020</v>
      </c>
      <c r="F199" s="73">
        <v>2021</v>
      </c>
      <c r="G199" s="11">
        <v>2022</v>
      </c>
      <c r="H199" s="12">
        <v>2023</v>
      </c>
      <c r="I199" s="13">
        <v>2024</v>
      </c>
      <c r="J199" s="14">
        <v>2025</v>
      </c>
      <c r="K199"/>
      <c r="L199"/>
      <c r="M199"/>
      <c r="N199" s="8" t="s">
        <v>298</v>
      </c>
      <c r="O199" s="2"/>
      <c r="P199" s="85" t="s">
        <v>119</v>
      </c>
      <c r="Q199" s="85" t="s">
        <v>120</v>
      </c>
      <c r="R199" s="85" t="s">
        <v>11</v>
      </c>
      <c r="S199" s="19" t="s">
        <v>90</v>
      </c>
      <c r="T199" s="20" t="s">
        <v>13</v>
      </c>
      <c r="U199" s="20" t="s">
        <v>14</v>
      </c>
      <c r="V199" s="20" t="s">
        <v>91</v>
      </c>
      <c r="W199" s="19" t="s">
        <v>92</v>
      </c>
      <c r="X199" s="20" t="s">
        <v>93</v>
      </c>
      <c r="Y199" s="20" t="s">
        <v>94</v>
      </c>
      <c r="Z199" s="20" t="s">
        <v>95</v>
      </c>
      <c r="AA199" s="19" t="s">
        <v>96</v>
      </c>
      <c r="AB199" s="20" t="s">
        <v>97</v>
      </c>
      <c r="AC199" s="20" t="s">
        <v>98</v>
      </c>
      <c r="AD199" s="20" t="s">
        <v>99</v>
      </c>
      <c r="AE199" s="19" t="s">
        <v>100</v>
      </c>
      <c r="AF199" s="20" t="s">
        <v>101</v>
      </c>
      <c r="AG199" s="20" t="s">
        <v>102</v>
      </c>
      <c r="AH199" s="20" t="s">
        <v>103</v>
      </c>
      <c r="AI199" s="19" t="s">
        <v>104</v>
      </c>
      <c r="AJ199" s="20" t="s">
        <v>105</v>
      </c>
      <c r="AK199" s="20" t="s">
        <v>106</v>
      </c>
      <c r="AL199" s="20" t="s">
        <v>107</v>
      </c>
      <c r="AM199" s="19" t="s">
        <v>32</v>
      </c>
      <c r="AN199" s="20" t="s">
        <v>33</v>
      </c>
      <c r="AO199" s="18" t="s">
        <v>34</v>
      </c>
      <c r="AP199" s="18" t="s">
        <v>108</v>
      </c>
      <c r="AQ199" s="19" t="s">
        <v>109</v>
      </c>
      <c r="AR199" s="18" t="s">
        <v>110</v>
      </c>
      <c r="AS199" s="18" t="s">
        <v>111</v>
      </c>
      <c r="AT199" s="18" t="s">
        <v>121</v>
      </c>
      <c r="AU199" s="19" t="s">
        <v>112</v>
      </c>
      <c r="AW199" s="8" t="s">
        <v>298</v>
      </c>
      <c r="AX199" s="2"/>
      <c r="BA199" s="33"/>
      <c r="BB199" s="98"/>
      <c r="BC199" s="98"/>
      <c r="BD199" s="98"/>
    </row>
    <row r="200" spans="1:70" x14ac:dyDescent="0.3">
      <c r="A200" s="25" t="s">
        <v>41</v>
      </c>
      <c r="B200" s="2" t="s">
        <v>42</v>
      </c>
      <c r="C200" s="36">
        <v>3807</v>
      </c>
      <c r="D200" s="36">
        <v>4201</v>
      </c>
      <c r="E200" s="36">
        <v>4599</v>
      </c>
      <c r="F200" s="27">
        <v>5541</v>
      </c>
      <c r="G200" s="64">
        <v>6311.05</v>
      </c>
      <c r="H200" s="64">
        <v>7140.027</v>
      </c>
      <c r="I200" s="36">
        <v>7492.71</v>
      </c>
      <c r="J200" s="28">
        <v>8294.3410000000003</v>
      </c>
      <c r="K200"/>
      <c r="L200"/>
      <c r="M200"/>
      <c r="N200" s="25" t="s">
        <v>41</v>
      </c>
      <c r="O200" s="2" t="s">
        <v>42</v>
      </c>
      <c r="P200" s="87">
        <v>851</v>
      </c>
      <c r="Q200" s="87">
        <v>1016</v>
      </c>
      <c r="R200" s="87">
        <v>1016</v>
      </c>
      <c r="S200" s="37">
        <v>920</v>
      </c>
      <c r="T200" s="37">
        <v>946</v>
      </c>
      <c r="U200" s="37">
        <v>1104</v>
      </c>
      <c r="V200" s="37">
        <v>1134</v>
      </c>
      <c r="W200" s="37">
        <v>1017</v>
      </c>
      <c r="X200" s="37">
        <v>1062</v>
      </c>
      <c r="Y200" s="37">
        <v>1094</v>
      </c>
      <c r="Z200" s="37">
        <v>1246</v>
      </c>
      <c r="AA200" s="37">
        <v>1196</v>
      </c>
      <c r="AB200" s="37">
        <v>1244</v>
      </c>
      <c r="AC200" s="37">
        <v>1462</v>
      </c>
      <c r="AD200" s="37">
        <v>1411</v>
      </c>
      <c r="AE200" s="37">
        <v>1425</v>
      </c>
      <c r="AF200" s="37">
        <v>1519</v>
      </c>
      <c r="AG200" s="37">
        <v>1655</v>
      </c>
      <c r="AH200" s="37">
        <v>1624</v>
      </c>
      <c r="AI200" s="37">
        <v>1513</v>
      </c>
      <c r="AJ200" s="37">
        <v>1699</v>
      </c>
      <c r="AK200" s="37">
        <v>1855</v>
      </c>
      <c r="AL200" s="37">
        <v>1856</v>
      </c>
      <c r="AM200" s="37">
        <v>1730</v>
      </c>
      <c r="AN200" s="37">
        <v>1899</v>
      </c>
      <c r="AO200" s="36">
        <v>1900.6</v>
      </c>
      <c r="AP200" s="36">
        <v>1880.97</v>
      </c>
      <c r="AQ200" s="36">
        <v>1812.04</v>
      </c>
      <c r="AR200" s="36">
        <v>1854.558</v>
      </c>
      <c r="AS200" s="36">
        <v>2111.5929999999998</v>
      </c>
      <c r="AT200" s="36">
        <v>2197.14</v>
      </c>
      <c r="AU200" s="36">
        <v>2131.0500000000002</v>
      </c>
      <c r="AW200" s="33" t="s">
        <v>42</v>
      </c>
      <c r="AX200" s="33" t="s">
        <v>41</v>
      </c>
      <c r="BA200" s="33"/>
      <c r="BB200" s="35"/>
      <c r="BC200" s="41"/>
      <c r="BD200" s="41"/>
    </row>
    <row r="201" spans="1:70"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W201" s="53"/>
      <c r="BA201" s="33"/>
    </row>
    <row r="202" spans="1:70" x14ac:dyDescent="0.3">
      <c r="A202" s="8" t="s">
        <v>299</v>
      </c>
      <c r="B202" s="2"/>
      <c r="C202" s="9">
        <v>2018</v>
      </c>
      <c r="D202" s="9">
        <v>2019</v>
      </c>
      <c r="E202" s="9">
        <v>2020</v>
      </c>
      <c r="F202" s="101">
        <v>2021</v>
      </c>
      <c r="G202" s="11">
        <v>2022</v>
      </c>
      <c r="H202" s="12">
        <v>2023</v>
      </c>
      <c r="I202" s="13">
        <v>2024</v>
      </c>
      <c r="J202" s="14">
        <v>2025</v>
      </c>
      <c r="K202" s="17"/>
      <c r="L202" s="16"/>
      <c r="M202" s="16"/>
      <c r="N202" s="8" t="s">
        <v>299</v>
      </c>
      <c r="O202" s="2"/>
      <c r="P202" s="18" t="s">
        <v>119</v>
      </c>
      <c r="Q202" s="18" t="s">
        <v>120</v>
      </c>
      <c r="R202" s="18" t="s">
        <v>11</v>
      </c>
      <c r="S202" s="19" t="s">
        <v>90</v>
      </c>
      <c r="T202" s="18" t="s">
        <v>13</v>
      </c>
      <c r="U202" s="18" t="s">
        <v>14</v>
      </c>
      <c r="V202" s="18" t="s">
        <v>91</v>
      </c>
      <c r="W202" s="19" t="s">
        <v>92</v>
      </c>
      <c r="X202" s="18" t="s">
        <v>93</v>
      </c>
      <c r="Y202" s="18" t="s">
        <v>94</v>
      </c>
      <c r="Z202" s="18" t="s">
        <v>95</v>
      </c>
      <c r="AA202" s="19" t="s">
        <v>96</v>
      </c>
      <c r="AB202" s="18" t="s">
        <v>97</v>
      </c>
      <c r="AC202" s="18" t="s">
        <v>98</v>
      </c>
      <c r="AD202" s="18" t="s">
        <v>99</v>
      </c>
      <c r="AE202" s="19" t="s">
        <v>100</v>
      </c>
      <c r="AF202" s="18" t="s">
        <v>101</v>
      </c>
      <c r="AG202" s="18" t="s">
        <v>102</v>
      </c>
      <c r="AH202" s="18" t="s">
        <v>103</v>
      </c>
      <c r="AI202" s="19" t="s">
        <v>104</v>
      </c>
      <c r="AJ202" s="18" t="s">
        <v>105</v>
      </c>
      <c r="AK202" s="18" t="s">
        <v>106</v>
      </c>
      <c r="AL202" s="18" t="s">
        <v>107</v>
      </c>
      <c r="AM202" s="19" t="s">
        <v>32</v>
      </c>
      <c r="AN202" s="18" t="s">
        <v>33</v>
      </c>
      <c r="AO202" s="18" t="s">
        <v>34</v>
      </c>
      <c r="AP202" s="18" t="s">
        <v>108</v>
      </c>
      <c r="AQ202" s="19" t="s">
        <v>109</v>
      </c>
      <c r="AR202" s="18" t="s">
        <v>110</v>
      </c>
      <c r="AS202" s="18" t="s">
        <v>111</v>
      </c>
      <c r="AT202" s="18" t="s">
        <v>121</v>
      </c>
      <c r="AU202" s="19" t="s">
        <v>112</v>
      </c>
      <c r="AW202" s="8" t="s">
        <v>299</v>
      </c>
      <c r="BA202" s="33"/>
    </row>
    <row r="203" spans="1:70" x14ac:dyDescent="0.3">
      <c r="A203" s="25" t="s">
        <v>41</v>
      </c>
      <c r="B203" s="2" t="s">
        <v>42</v>
      </c>
      <c r="C203" s="37"/>
      <c r="D203" s="37">
        <v>238.36799999999999</v>
      </c>
      <c r="E203" s="37">
        <v>327.43</v>
      </c>
      <c r="F203" s="37">
        <v>497.87599999999998</v>
      </c>
      <c r="G203" s="28">
        <v>829.01200000000006</v>
      </c>
      <c r="H203" s="28">
        <v>965.77600000000007</v>
      </c>
      <c r="I203" s="28">
        <v>1380.019</v>
      </c>
      <c r="J203" s="28">
        <v>1638.15</v>
      </c>
      <c r="K203" s="28"/>
      <c r="L203" s="27"/>
      <c r="M203" s="27"/>
      <c r="N203" s="25" t="s">
        <v>41</v>
      </c>
      <c r="O203" s="2" t="s">
        <v>42</v>
      </c>
      <c r="P203" s="93"/>
      <c r="Q203" s="102"/>
      <c r="R203" s="102"/>
      <c r="S203" s="102"/>
      <c r="T203" s="93"/>
      <c r="U203" s="93"/>
      <c r="V203" s="93"/>
      <c r="W203" s="93"/>
      <c r="X203" s="93">
        <v>66.385439999999988</v>
      </c>
      <c r="Y203" s="93">
        <v>84.490560000000031</v>
      </c>
      <c r="Z203" s="93">
        <v>86.658000000000001</v>
      </c>
      <c r="AA203" s="93">
        <v>89.896000000000001</v>
      </c>
      <c r="AB203" s="93">
        <v>98.784999999999997</v>
      </c>
      <c r="AC203" s="93">
        <v>129.208</v>
      </c>
      <c r="AD203" s="93">
        <v>129.803</v>
      </c>
      <c r="AE203" s="93">
        <v>140.08000000000001</v>
      </c>
      <c r="AF203" s="93">
        <v>152.15600000000001</v>
      </c>
      <c r="AG203" s="93">
        <v>186.381</v>
      </c>
      <c r="AH203" s="93">
        <v>198.648</v>
      </c>
      <c r="AI203" s="93">
        <v>291.827</v>
      </c>
      <c r="AJ203" s="93">
        <v>197.267</v>
      </c>
      <c r="AK203" s="93">
        <v>249.87899999999999</v>
      </c>
      <c r="AL203" s="93">
        <v>264.50700000000001</v>
      </c>
      <c r="AM203" s="93">
        <v>254.12299999999999</v>
      </c>
      <c r="AN203" s="93">
        <v>275.09899999999999</v>
      </c>
      <c r="AO203" s="93">
        <v>423.92</v>
      </c>
      <c r="AP203" s="93">
        <v>338.21</v>
      </c>
      <c r="AQ203" s="93">
        <v>342.79</v>
      </c>
      <c r="AR203" s="93">
        <v>355.15</v>
      </c>
      <c r="AS203" s="93">
        <v>415.81</v>
      </c>
      <c r="AT203" s="93">
        <v>423.58</v>
      </c>
      <c r="AU203" s="93">
        <v>443.61</v>
      </c>
      <c r="AW203" s="33" t="s">
        <v>42</v>
      </c>
      <c r="AX203" s="25" t="s">
        <v>41</v>
      </c>
      <c r="BA203" s="33"/>
    </row>
    <row r="204" spans="1:70"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BA204" s="33"/>
    </row>
    <row r="205" spans="1:70" x14ac:dyDescent="0.3">
      <c r="A205" s="8" t="s">
        <v>300</v>
      </c>
      <c r="B205" s="2"/>
      <c r="C205" s="9">
        <v>2018</v>
      </c>
      <c r="D205" s="9">
        <v>2019</v>
      </c>
      <c r="E205" s="9">
        <v>2020</v>
      </c>
      <c r="F205" s="101">
        <v>2021</v>
      </c>
      <c r="G205" s="11">
        <v>2022</v>
      </c>
      <c r="H205" s="12">
        <v>2023</v>
      </c>
      <c r="I205" s="13">
        <v>2024</v>
      </c>
      <c r="J205" s="14">
        <v>2025</v>
      </c>
      <c r="K205" s="17"/>
      <c r="L205" s="16"/>
      <c r="M205" s="16"/>
      <c r="N205" s="8" t="s">
        <v>300</v>
      </c>
      <c r="O205" s="2"/>
      <c r="P205" s="18" t="s">
        <v>119</v>
      </c>
      <c r="Q205" s="18" t="s">
        <v>120</v>
      </c>
      <c r="R205" s="18" t="s">
        <v>11</v>
      </c>
      <c r="S205" s="19" t="s">
        <v>90</v>
      </c>
      <c r="T205" s="18" t="s">
        <v>13</v>
      </c>
      <c r="U205" s="18" t="s">
        <v>14</v>
      </c>
      <c r="V205" s="18" t="s">
        <v>91</v>
      </c>
      <c r="W205" s="19" t="s">
        <v>92</v>
      </c>
      <c r="X205" s="18" t="s">
        <v>93</v>
      </c>
      <c r="Y205" s="18" t="s">
        <v>94</v>
      </c>
      <c r="Z205" s="18" t="s">
        <v>95</v>
      </c>
      <c r="AA205" s="19" t="s">
        <v>96</v>
      </c>
      <c r="AB205" s="18" t="s">
        <v>97</v>
      </c>
      <c r="AC205" s="18" t="s">
        <v>98</v>
      </c>
      <c r="AD205" s="18" t="s">
        <v>99</v>
      </c>
      <c r="AE205" s="19" t="s">
        <v>100</v>
      </c>
      <c r="AF205" s="18" t="s">
        <v>101</v>
      </c>
      <c r="AG205" s="18" t="s">
        <v>102</v>
      </c>
      <c r="AH205" s="18" t="s">
        <v>103</v>
      </c>
      <c r="AI205" s="19" t="s">
        <v>104</v>
      </c>
      <c r="AJ205" s="18" t="s">
        <v>105</v>
      </c>
      <c r="AK205" s="18" t="s">
        <v>106</v>
      </c>
      <c r="AL205" s="18" t="s">
        <v>107</v>
      </c>
      <c r="AM205" s="19" t="s">
        <v>32</v>
      </c>
      <c r="AN205" s="18" t="s">
        <v>33</v>
      </c>
      <c r="AO205" s="18" t="s">
        <v>34</v>
      </c>
      <c r="AP205" s="18" t="s">
        <v>108</v>
      </c>
      <c r="AQ205" s="19" t="s">
        <v>109</v>
      </c>
      <c r="AR205" s="18" t="s">
        <v>110</v>
      </c>
      <c r="AS205" s="18" t="s">
        <v>111</v>
      </c>
      <c r="AT205" s="18" t="s">
        <v>121</v>
      </c>
      <c r="AU205" s="19" t="s">
        <v>112</v>
      </c>
      <c r="AW205" s="8" t="s">
        <v>300</v>
      </c>
      <c r="BA205" s="33"/>
    </row>
    <row r="206" spans="1:70" x14ac:dyDescent="0.3">
      <c r="A206" s="25" t="s">
        <v>301</v>
      </c>
      <c r="B206" s="2" t="s">
        <v>42</v>
      </c>
      <c r="C206" s="37">
        <v>6664</v>
      </c>
      <c r="D206" s="37">
        <v>6945</v>
      </c>
      <c r="E206" s="37">
        <v>6651</v>
      </c>
      <c r="F206" s="37">
        <v>7001</v>
      </c>
      <c r="G206" s="28">
        <v>8151</v>
      </c>
      <c r="H206" s="28">
        <v>8191</v>
      </c>
      <c r="I206" s="28">
        <v>8837</v>
      </c>
      <c r="J206" s="28">
        <v>9921</v>
      </c>
      <c r="K206" s="28"/>
      <c r="L206" s="27"/>
      <c r="M206" s="27"/>
      <c r="N206" s="25" t="s">
        <v>301</v>
      </c>
      <c r="O206" s="2" t="s">
        <v>42</v>
      </c>
      <c r="P206" s="93"/>
      <c r="Q206" s="102">
        <v>1540</v>
      </c>
      <c r="R206" s="102"/>
      <c r="S206" s="102">
        <v>1657</v>
      </c>
      <c r="T206" s="93"/>
      <c r="U206" s="93">
        <v>3332</v>
      </c>
      <c r="V206" s="93"/>
      <c r="W206" s="93">
        <v>3613</v>
      </c>
      <c r="X206" s="93"/>
      <c r="Y206" s="93">
        <v>3236</v>
      </c>
      <c r="Z206" s="93"/>
      <c r="AA206" s="93">
        <v>3415</v>
      </c>
      <c r="AB206" s="93"/>
      <c r="AC206" s="93">
        <v>3254</v>
      </c>
      <c r="AD206" s="93"/>
      <c r="AE206" s="93">
        <v>3747</v>
      </c>
      <c r="AF206" s="93"/>
      <c r="AG206" s="93">
        <v>3896</v>
      </c>
      <c r="AH206" s="93"/>
      <c r="AI206" s="93">
        <v>4255</v>
      </c>
      <c r="AJ206" s="93"/>
      <c r="AK206" s="93">
        <v>3988</v>
      </c>
      <c r="AL206" s="93"/>
      <c r="AM206" s="93">
        <v>4203</v>
      </c>
      <c r="AN206" s="93"/>
      <c r="AO206" s="93">
        <v>4210</v>
      </c>
      <c r="AP206" s="93"/>
      <c r="AQ206" s="93">
        <v>4627</v>
      </c>
      <c r="AR206" s="93"/>
      <c r="AS206" s="93">
        <v>5045</v>
      </c>
      <c r="AT206" s="93"/>
      <c r="AU206" s="93">
        <v>4876</v>
      </c>
      <c r="AW206" s="33" t="s">
        <v>42</v>
      </c>
      <c r="AX206" s="25" t="s">
        <v>301</v>
      </c>
      <c r="BA206" s="33"/>
    </row>
    <row r="207" spans="1:70" x14ac:dyDescent="0.3">
      <c r="A207"/>
      <c r="B207"/>
      <c r="C207"/>
      <c r="D207"/>
      <c r="E207"/>
      <c r="F207"/>
      <c r="G207"/>
      <c r="H207"/>
      <c r="I207"/>
      <c r="J207"/>
      <c r="K207"/>
      <c r="L207"/>
      <c r="M207"/>
      <c r="N207"/>
      <c r="O207" t="s">
        <v>302</v>
      </c>
      <c r="P207" s="40">
        <v>770</v>
      </c>
      <c r="Q207" s="40">
        <v>770</v>
      </c>
      <c r="R207" s="40">
        <v>828.5</v>
      </c>
      <c r="S207" s="40">
        <v>828.5</v>
      </c>
      <c r="T207" s="40">
        <v>1666</v>
      </c>
      <c r="U207" s="40">
        <v>1666</v>
      </c>
      <c r="V207" s="40">
        <v>1806.5</v>
      </c>
      <c r="W207" s="40">
        <v>1806.5</v>
      </c>
      <c r="X207" s="40">
        <v>1618</v>
      </c>
      <c r="Y207" s="40">
        <v>1618</v>
      </c>
      <c r="Z207" s="40">
        <v>1707.5</v>
      </c>
      <c r="AA207" s="40">
        <v>1707.5</v>
      </c>
      <c r="AB207" s="40">
        <v>1627</v>
      </c>
      <c r="AC207" s="40">
        <v>1627</v>
      </c>
      <c r="AD207" s="40">
        <v>1873.5</v>
      </c>
      <c r="AE207" s="40">
        <v>1873.5</v>
      </c>
      <c r="AF207" s="40">
        <v>1948</v>
      </c>
      <c r="AG207" s="40">
        <v>1948</v>
      </c>
      <c r="AH207" s="40">
        <v>2127.5</v>
      </c>
      <c r="AI207" s="40">
        <v>2127.5</v>
      </c>
      <c r="AJ207" s="40">
        <v>1994</v>
      </c>
      <c r="AK207" s="40">
        <v>1994</v>
      </c>
      <c r="AL207" s="40">
        <v>2101.5</v>
      </c>
      <c r="AM207" s="40">
        <v>2101.5</v>
      </c>
      <c r="AN207" s="40">
        <v>2105</v>
      </c>
      <c r="AO207" s="40">
        <v>2105</v>
      </c>
      <c r="AP207" s="40">
        <v>2313.5</v>
      </c>
      <c r="AQ207" s="40">
        <v>2313.5</v>
      </c>
      <c r="AR207" s="40">
        <v>2522.5</v>
      </c>
      <c r="AS207" s="40">
        <v>2522.5</v>
      </c>
      <c r="AT207" s="40">
        <v>2438</v>
      </c>
      <c r="AU207" s="40">
        <v>2438</v>
      </c>
      <c r="AW207" t="s">
        <v>302</v>
      </c>
      <c r="AX207" s="53"/>
      <c r="BA207" s="52"/>
    </row>
    <row r="208" spans="1:70" s="2" customFormat="1" ht="18" customHeight="1" x14ac:dyDescent="0.3">
      <c r="A208" s="103"/>
      <c r="C208" s="9"/>
      <c r="D208" s="9"/>
      <c r="E208" s="9"/>
      <c r="F208" s="73"/>
      <c r="G208" s="11"/>
      <c r="H208" s="12"/>
      <c r="I208" s="13"/>
      <c r="J208" s="14"/>
      <c r="K208" s="89"/>
      <c r="L208" s="89"/>
      <c r="M208" s="89"/>
      <c r="N208" s="8"/>
      <c r="AW208" s="103"/>
      <c r="AZ208" s="96"/>
      <c r="BA208" s="8"/>
      <c r="BB208" s="74"/>
      <c r="BC208" s="74"/>
      <c r="BD208" s="98"/>
    </row>
    <row r="209" spans="1:56" s="2" customFormat="1" ht="18" customHeight="1" x14ac:dyDescent="0.3">
      <c r="A209" s="25"/>
      <c r="C209" s="31"/>
      <c r="D209" s="31"/>
      <c r="E209" s="31"/>
      <c r="F209" s="64"/>
      <c r="G209" s="64"/>
      <c r="H209" s="64"/>
      <c r="I209" s="36"/>
      <c r="J209" s="28"/>
      <c r="K209" s="36"/>
      <c r="L209" s="36"/>
      <c r="M209" s="36"/>
      <c r="N209" s="25"/>
      <c r="P209" s="27"/>
      <c r="Q209" s="27"/>
      <c r="R209" s="27"/>
      <c r="S209" s="31"/>
      <c r="T209" s="31"/>
      <c r="U209" s="31"/>
      <c r="V209" s="31"/>
      <c r="W209" s="31"/>
      <c r="X209" s="31"/>
      <c r="Y209" s="31"/>
      <c r="Z209" s="31"/>
      <c r="AA209" s="31"/>
      <c r="AB209" s="31"/>
      <c r="AC209" s="31"/>
      <c r="AD209" s="31"/>
      <c r="AE209" s="31"/>
      <c r="AF209" s="31"/>
      <c r="AG209" s="31"/>
      <c r="AH209" s="31"/>
      <c r="AI209" s="31"/>
      <c r="AJ209" s="31"/>
      <c r="AK209" s="31"/>
      <c r="AL209" s="32"/>
      <c r="AM209" s="31"/>
      <c r="AN209" s="31"/>
      <c r="AO209" s="31"/>
      <c r="AP209" s="31"/>
      <c r="AQ209" s="31"/>
      <c r="AR209" s="31"/>
      <c r="AS209" s="31"/>
      <c r="AT209" s="31"/>
      <c r="AW209" s="33"/>
      <c r="AX209" s="33"/>
      <c r="AZ209" s="33"/>
      <c r="BA209" s="8"/>
      <c r="BB209" s="74"/>
      <c r="BC209" s="74"/>
      <c r="BD209" s="104"/>
    </row>
    <row r="210" spans="1:56" x14ac:dyDescent="0.3">
      <c r="A210"/>
      <c r="B210"/>
      <c r="C210"/>
      <c r="D210"/>
      <c r="E210"/>
      <c r="F210"/>
      <c r="G210"/>
      <c r="H210"/>
      <c r="I210"/>
      <c r="J210"/>
      <c r="K210"/>
      <c r="L210"/>
      <c r="M210"/>
      <c r="N210"/>
      <c r="O210"/>
      <c r="P210" s="94"/>
      <c r="Q210" s="94"/>
      <c r="R210" s="94"/>
      <c r="S210"/>
      <c r="T210"/>
      <c r="U210"/>
      <c r="V210"/>
      <c r="W210"/>
      <c r="X210"/>
      <c r="Y210"/>
      <c r="Z210"/>
      <c r="AA210"/>
      <c r="AB210"/>
      <c r="AC210"/>
      <c r="AD210"/>
      <c r="AE210"/>
      <c r="AF210"/>
      <c r="AG210"/>
      <c r="AH210"/>
      <c r="AI210" s="2"/>
      <c r="AJ210" s="2"/>
      <c r="AK210" s="53"/>
      <c r="AL210" s="53"/>
      <c r="AM210" s="53"/>
      <c r="AN210" s="53"/>
      <c r="AO210" s="53"/>
      <c r="AP210" s="53"/>
      <c r="AQ210" s="53"/>
      <c r="AR210" s="53"/>
      <c r="AS210" s="53"/>
      <c r="AT210" s="53"/>
      <c r="AU210" s="53"/>
      <c r="AV210" s="53"/>
      <c r="AX210" s="33"/>
      <c r="AZ210" s="6"/>
      <c r="BA210" s="8"/>
      <c r="BB210" s="74"/>
      <c r="BC210" s="74"/>
    </row>
    <row r="211" spans="1:56"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row>
    <row r="212" spans="1:56"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row>
    <row r="213" spans="1:56"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row>
    <row r="214" spans="1:56"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row>
    <row r="215" spans="1:56" x14ac:dyDescent="0.3">
      <c r="A215"/>
      <c r="B215"/>
      <c r="C215"/>
      <c r="D215"/>
      <c r="E215"/>
      <c r="F215"/>
      <c r="G215"/>
      <c r="H215"/>
      <c r="I215"/>
      <c r="J215"/>
      <c r="K215"/>
      <c r="L215"/>
      <c r="M215"/>
      <c r="N215"/>
      <c r="O215" s="2"/>
      <c r="P215" s="105" t="s">
        <v>1</v>
      </c>
      <c r="Q215" s="105" t="s">
        <v>2</v>
      </c>
      <c r="R215" s="105" t="s">
        <v>3</v>
      </c>
      <c r="S215" s="105" t="s">
        <v>4</v>
      </c>
      <c r="T215" s="105" t="s">
        <v>1</v>
      </c>
      <c r="U215" s="106" t="s">
        <v>2</v>
      </c>
      <c r="V215" s="106" t="s">
        <v>3</v>
      </c>
      <c r="W215" s="105" t="s">
        <v>4</v>
      </c>
      <c r="X215" s="105" t="s">
        <v>1</v>
      </c>
      <c r="Y215" s="105" t="s">
        <v>2</v>
      </c>
      <c r="Z215" s="105" t="s">
        <v>3</v>
      </c>
      <c r="AA215" s="105" t="s">
        <v>4</v>
      </c>
      <c r="AB215" s="105" t="s">
        <v>1</v>
      </c>
      <c r="AC215" s="105" t="s">
        <v>2</v>
      </c>
      <c r="AD215" s="105" t="s">
        <v>3</v>
      </c>
      <c r="AE215" s="105" t="s">
        <v>4</v>
      </c>
      <c r="AF215" s="105" t="s">
        <v>1</v>
      </c>
      <c r="AG215" s="105" t="s">
        <v>2</v>
      </c>
      <c r="AH215" s="105" t="s">
        <v>3</v>
      </c>
      <c r="AI215" s="105" t="s">
        <v>4</v>
      </c>
      <c r="AJ215" s="105" t="s">
        <v>1</v>
      </c>
      <c r="AK215" s="105" t="s">
        <v>2</v>
      </c>
      <c r="AL215" s="105" t="s">
        <v>3</v>
      </c>
      <c r="AM215" s="105" t="s">
        <v>4</v>
      </c>
      <c r="AN215" s="105" t="s">
        <v>1</v>
      </c>
      <c r="AO215" s="105" t="s">
        <v>2</v>
      </c>
      <c r="AP215" s="105" t="s">
        <v>3</v>
      </c>
      <c r="AQ215" s="105" t="s">
        <v>4</v>
      </c>
      <c r="AR215" s="105" t="s">
        <v>1</v>
      </c>
      <c r="AS215" s="105" t="s">
        <v>2</v>
      </c>
      <c r="AT215" s="105" t="s">
        <v>3</v>
      </c>
      <c r="AU215" s="105" t="s">
        <v>4</v>
      </c>
    </row>
    <row r="216" spans="1:56" x14ac:dyDescent="0.3">
      <c r="A216"/>
      <c r="B216"/>
      <c r="C216"/>
      <c r="D216"/>
      <c r="E216"/>
      <c r="F216"/>
      <c r="G216"/>
      <c r="H216"/>
      <c r="I216"/>
      <c r="J216"/>
      <c r="K216"/>
      <c r="L216"/>
      <c r="M216"/>
      <c r="N216"/>
      <c r="O216" s="4"/>
      <c r="P216" s="98">
        <v>2018</v>
      </c>
      <c r="Q216" s="98">
        <v>2018</v>
      </c>
      <c r="R216" s="98">
        <v>2018</v>
      </c>
      <c r="S216" s="98">
        <v>2018</v>
      </c>
      <c r="T216" s="98">
        <v>2019</v>
      </c>
      <c r="U216" s="107">
        <v>2019</v>
      </c>
      <c r="V216" s="107">
        <v>2019</v>
      </c>
      <c r="W216" s="98">
        <v>2019</v>
      </c>
      <c r="X216" s="98">
        <v>2020</v>
      </c>
      <c r="Y216" s="98">
        <v>2020</v>
      </c>
      <c r="Z216" s="98">
        <v>2020</v>
      </c>
      <c r="AA216" s="98">
        <v>2020</v>
      </c>
      <c r="AB216" s="98">
        <v>2021</v>
      </c>
      <c r="AC216" s="98">
        <v>2021</v>
      </c>
      <c r="AD216" s="98">
        <v>2021</v>
      </c>
      <c r="AE216" s="98">
        <v>2021</v>
      </c>
      <c r="AF216" s="98">
        <v>2022</v>
      </c>
      <c r="AG216" s="98">
        <v>2022</v>
      </c>
      <c r="AH216" s="98">
        <v>2022</v>
      </c>
      <c r="AI216" s="98">
        <v>2022</v>
      </c>
      <c r="AJ216" s="98">
        <v>2023</v>
      </c>
      <c r="AK216" s="98">
        <v>2023</v>
      </c>
      <c r="AL216" s="98">
        <v>2023</v>
      </c>
      <c r="AM216" s="98">
        <v>2023</v>
      </c>
      <c r="AN216" s="98">
        <v>2024</v>
      </c>
      <c r="AO216" s="98">
        <v>2024</v>
      </c>
      <c r="AP216" s="98">
        <v>2024</v>
      </c>
      <c r="AQ216" s="98">
        <v>2024</v>
      </c>
      <c r="AR216" s="98">
        <v>2025</v>
      </c>
      <c r="AS216" s="98">
        <v>2025</v>
      </c>
      <c r="AT216" s="98">
        <v>2025</v>
      </c>
      <c r="AU216" s="98">
        <v>2025</v>
      </c>
    </row>
    <row r="217" spans="1:56" x14ac:dyDescent="0.3">
      <c r="A217"/>
      <c r="B217"/>
      <c r="C217"/>
      <c r="D217"/>
      <c r="E217"/>
      <c r="F217"/>
      <c r="G217"/>
      <c r="H217"/>
      <c r="I217"/>
      <c r="J217"/>
      <c r="K217"/>
      <c r="L217"/>
      <c r="M217"/>
      <c r="N217"/>
      <c r="O217" s="2" t="s">
        <v>303</v>
      </c>
      <c r="P217" s="108">
        <v>1.2317</v>
      </c>
      <c r="Q217" s="108">
        <v>1.1684000000000001</v>
      </c>
      <c r="R217" s="108">
        <v>1.1620999999999999</v>
      </c>
      <c r="S217" s="108">
        <v>1.1395999999999999</v>
      </c>
      <c r="T217" s="108">
        <v>1.1232</v>
      </c>
      <c r="U217" s="109">
        <v>1.1389</v>
      </c>
      <c r="V217" s="109">
        <v>1.0980000000000001</v>
      </c>
      <c r="W217" s="110">
        <v>1.1160000000000001</v>
      </c>
      <c r="X217" s="108">
        <v>1.0805</v>
      </c>
      <c r="Y217" s="108">
        <v>1.1245000000000001</v>
      </c>
      <c r="Z217" s="108">
        <v>1.1717</v>
      </c>
      <c r="AA217" s="111">
        <v>1.2135</v>
      </c>
      <c r="AB217" s="111">
        <v>1.1758999999999999</v>
      </c>
      <c r="AC217" s="111">
        <v>1.1865000000000001</v>
      </c>
      <c r="AD217" s="108">
        <v>1.1595</v>
      </c>
      <c r="AE217" s="108">
        <v>1.1371</v>
      </c>
      <c r="AF217" s="108">
        <v>1.1048</v>
      </c>
      <c r="AG217" s="108">
        <v>1.0428999999999999</v>
      </c>
      <c r="AH217" s="108">
        <v>1.0087295454866414</v>
      </c>
      <c r="AI217" s="108">
        <v>1.0727</v>
      </c>
      <c r="AJ217" s="108">
        <v>1.08</v>
      </c>
      <c r="AK217" s="108">
        <v>1.0915999999999999</v>
      </c>
      <c r="AL217" s="112">
        <v>1.0587</v>
      </c>
      <c r="AM217" s="108">
        <v>1.1051</v>
      </c>
      <c r="AN217" s="108">
        <v>1.0797000000000001</v>
      </c>
      <c r="AO217" s="108">
        <v>1.07152</v>
      </c>
      <c r="AP217" s="108">
        <v>1.1168899999999999</v>
      </c>
      <c r="AQ217" s="108">
        <v>1.0409600000000001</v>
      </c>
      <c r="AR217" s="113">
        <v>1.0824</v>
      </c>
      <c r="AS217" s="113">
        <v>1.1728700000000001</v>
      </c>
      <c r="AT217" s="108">
        <v>1.1731199999999999</v>
      </c>
      <c r="AU217" s="111">
        <v>1.17466</v>
      </c>
      <c r="AW217" s="2" t="s">
        <v>303</v>
      </c>
    </row>
    <row r="218" spans="1:56" x14ac:dyDescent="0.3">
      <c r="A218"/>
      <c r="B218"/>
      <c r="C218"/>
      <c r="D218"/>
      <c r="E218"/>
      <c r="F218"/>
      <c r="G218"/>
      <c r="H218"/>
      <c r="I218"/>
      <c r="J218"/>
      <c r="K218"/>
      <c r="L218"/>
      <c r="M218"/>
      <c r="N218"/>
      <c r="O218" s="2" t="s">
        <v>304</v>
      </c>
      <c r="P218" s="108">
        <v>9.4000000000000004E-3</v>
      </c>
      <c r="Q218" s="108">
        <v>8.9999999999999993E-3</v>
      </c>
      <c r="R218" s="108">
        <v>8.8000000000000005E-3</v>
      </c>
      <c r="S218" s="108">
        <v>9.1000000000000004E-3</v>
      </c>
      <c r="T218" s="108">
        <v>8.9999999999999993E-3</v>
      </c>
      <c r="U218" s="108">
        <v>9.2999999999999992E-3</v>
      </c>
      <c r="V218" s="109">
        <v>9.2999999999999992E-3</v>
      </c>
      <c r="W218" s="109">
        <v>9.1000000000000004E-3</v>
      </c>
      <c r="X218" s="108">
        <v>9.2999999999999992E-3</v>
      </c>
      <c r="Y218" s="114">
        <v>9.2999999999999992E-3</v>
      </c>
      <c r="Z218" s="114">
        <v>9.4999999999999998E-3</v>
      </c>
      <c r="AA218" s="111">
        <v>9.7000000000000003E-3</v>
      </c>
      <c r="AB218" s="111">
        <v>9.1000000000000004E-3</v>
      </c>
      <c r="AC218" s="111">
        <v>8.9999999999999993E-3</v>
      </c>
      <c r="AD218" s="108">
        <v>8.9999999999999993E-3</v>
      </c>
      <c r="AE218" s="108">
        <v>8.6999999999999994E-3</v>
      </c>
      <c r="AF218" s="108">
        <v>8.2000000000000007E-3</v>
      </c>
      <c r="AG218" s="108">
        <v>7.4000000000000003E-3</v>
      </c>
      <c r="AH218" s="108">
        <v>6.8999999999999999E-3</v>
      </c>
      <c r="AI218" s="108">
        <v>7.6303899999999999E-3</v>
      </c>
      <c r="AJ218" s="108">
        <v>7.6E-3</v>
      </c>
      <c r="AK218" s="112">
        <v>6.8999999999999999E-3</v>
      </c>
      <c r="AL218" s="115">
        <v>6.7000000000000002E-3</v>
      </c>
      <c r="AM218" s="108">
        <v>7.0904799999999997E-3</v>
      </c>
      <c r="AN218" s="108">
        <v>6.6056400000000003E-3</v>
      </c>
      <c r="AO218" s="114">
        <v>6.2157100000000002E-3</v>
      </c>
      <c r="AP218" s="114">
        <v>7.0018499999999996E-3</v>
      </c>
      <c r="AQ218" s="108">
        <v>6.3610899999999998E-3</v>
      </c>
      <c r="AR218" s="113">
        <v>6.6856299999999997E-3</v>
      </c>
      <c r="AS218" s="113">
        <v>6.93298E-3</v>
      </c>
      <c r="AT218" s="108">
        <v>6.7287400000000004E-3</v>
      </c>
      <c r="AU218" s="111">
        <v>6.39318E-3</v>
      </c>
      <c r="AW218" s="2" t="s">
        <v>304</v>
      </c>
    </row>
    <row r="219" spans="1:56" x14ac:dyDescent="0.3">
      <c r="A219"/>
      <c r="B219"/>
      <c r="C219"/>
      <c r="D219"/>
      <c r="E219"/>
      <c r="F219"/>
      <c r="G219"/>
      <c r="H219"/>
      <c r="I219"/>
      <c r="J219"/>
      <c r="K219"/>
      <c r="L219"/>
      <c r="M219"/>
      <c r="N219"/>
      <c r="O219" s="2" t="s">
        <v>305</v>
      </c>
      <c r="P219" s="108">
        <v>9.3999999999999997E-4</v>
      </c>
      <c r="Q219" s="108">
        <v>8.9999999999999998E-4</v>
      </c>
      <c r="R219" s="108">
        <v>8.9999999999999998E-4</v>
      </c>
      <c r="S219" s="108">
        <v>8.9999999999999998E-4</v>
      </c>
      <c r="T219" s="108">
        <v>8.8000000000000003E-4</v>
      </c>
      <c r="U219" s="108">
        <v>8.5999999999999998E-4</v>
      </c>
      <c r="V219" s="109">
        <v>8.3000000000000001E-4</v>
      </c>
      <c r="W219" s="109">
        <v>8.5999999999999998E-4</v>
      </c>
      <c r="X219" s="108">
        <v>8.1999999999999998E-4</v>
      </c>
      <c r="Y219" s="112">
        <v>8.0000000000000004E-4</v>
      </c>
      <c r="Z219" s="112">
        <v>8.4999999999999995E-4</v>
      </c>
      <c r="AA219" s="116">
        <v>8.4000000000000003E-4</v>
      </c>
      <c r="AB219" s="116">
        <v>8.8000000000000003E-4</v>
      </c>
      <c r="AC219" s="116">
        <v>8.8999999999999995E-4</v>
      </c>
      <c r="AD219" s="116">
        <v>8.4999999999999995E-4</v>
      </c>
      <c r="AE219" s="116">
        <v>8.4000000000000003E-4</v>
      </c>
      <c r="AF219" s="116">
        <v>8.1999999999999998E-4</v>
      </c>
      <c r="AG219" s="116">
        <v>7.7999999999999999E-4</v>
      </c>
      <c r="AH219" s="116">
        <v>6.9999999999999999E-4</v>
      </c>
      <c r="AI219" s="116">
        <v>7.91989E-4</v>
      </c>
      <c r="AJ219" s="116">
        <v>7.6999999999999996E-4</v>
      </c>
      <c r="AK219" s="116">
        <v>7.6000000000000004E-4</v>
      </c>
      <c r="AL219" s="116">
        <v>7.3999999999999999E-4</v>
      </c>
      <c r="AM219" s="108">
        <v>7.7209900000000005E-4</v>
      </c>
      <c r="AN219" s="108">
        <v>7.2400100000000005E-4</v>
      </c>
      <c r="AO219" s="112">
        <v>7.4308999999999996E-4</v>
      </c>
      <c r="AP219" s="112">
        <v>7.6325000000000004E-4</v>
      </c>
      <c r="AQ219" s="108">
        <v>6.7860499999999999E-4</v>
      </c>
      <c r="AR219" s="113">
        <v>6.8094800000000001E-4</v>
      </c>
      <c r="AS219" s="113">
        <v>7.38417E-4</v>
      </c>
      <c r="AT219" s="108">
        <v>7.1436399999999999E-4</v>
      </c>
      <c r="AU219" s="111">
        <v>6.9369699999999996E-4</v>
      </c>
      <c r="AW219" s="2" t="s">
        <v>305</v>
      </c>
    </row>
    <row r="220" spans="1:56" x14ac:dyDescent="0.3">
      <c r="A220"/>
      <c r="B220"/>
      <c r="C220"/>
      <c r="D220"/>
      <c r="E220"/>
      <c r="F220"/>
      <c r="G220"/>
      <c r="H220"/>
      <c r="I220"/>
      <c r="J220"/>
      <c r="K220"/>
      <c r="L220"/>
      <c r="M220"/>
      <c r="N220"/>
      <c r="O220" s="2" t="s">
        <v>306</v>
      </c>
      <c r="P220" s="108">
        <v>0.15942352453528044</v>
      </c>
      <c r="Q220" s="108">
        <v>0.15112588786459122</v>
      </c>
      <c r="R220" s="108">
        <v>0.14558159848595137</v>
      </c>
      <c r="S220" s="108">
        <v>0.14538687447297258</v>
      </c>
      <c r="T220" s="108">
        <v>0.14898466947751077</v>
      </c>
      <c r="U220" s="108">
        <v>0.14562824022834508</v>
      </c>
      <c r="V220" s="109">
        <v>0.14039422698938619</v>
      </c>
      <c r="W220" s="108">
        <v>0.14356471179384109</v>
      </c>
      <c r="X220" s="108">
        <v>0.14099798372883268</v>
      </c>
      <c r="Y220" s="112">
        <v>0.14151477414242047</v>
      </c>
      <c r="Z220" s="112">
        <v>0.14725588655406502</v>
      </c>
      <c r="AA220" s="116">
        <v>0.1530690341343946</v>
      </c>
      <c r="AB220" s="116">
        <v>0.15226494099733537</v>
      </c>
      <c r="AC220" s="116">
        <v>0.15448787270199291</v>
      </c>
      <c r="AD220" s="116">
        <v>0.15511812245024587</v>
      </c>
      <c r="AE220" s="116">
        <v>0.15733413049292783</v>
      </c>
      <c r="AF220" s="116">
        <v>0.15715610315726611</v>
      </c>
      <c r="AG220" s="116">
        <v>0.14923145799134457</v>
      </c>
      <c r="AH220" s="116">
        <v>0.14019999999999999</v>
      </c>
      <c r="AI220" s="116">
        <v>0.144619</v>
      </c>
      <c r="AJ220" s="116">
        <v>0.15</v>
      </c>
      <c r="AK220" s="116">
        <v>0.14000000000000001</v>
      </c>
      <c r="AL220" s="116">
        <v>0.13669999999999999</v>
      </c>
      <c r="AM220" s="108">
        <v>0.140985</v>
      </c>
      <c r="AN220" s="111">
        <v>0.13849900000000001</v>
      </c>
      <c r="AO220" s="112">
        <v>0.137603</v>
      </c>
      <c r="AP220" s="112">
        <v>0.14263200000000001</v>
      </c>
      <c r="AQ220" s="108">
        <v>0.13700000000000001</v>
      </c>
      <c r="AR220" s="113">
        <v>0.13768900000000001</v>
      </c>
      <c r="AS220" s="113">
        <v>0.139567</v>
      </c>
      <c r="AT220" s="108">
        <v>0.14043600000000001</v>
      </c>
      <c r="AU220" s="111">
        <v>0.142512</v>
      </c>
      <c r="AW220" s="2" t="s">
        <v>306</v>
      </c>
    </row>
    <row r="221" spans="1:56" s="4" customFormat="1" x14ac:dyDescent="0.3">
      <c r="A221" s="25"/>
      <c r="B221" s="57"/>
      <c r="C221" s="32"/>
      <c r="D221" s="32"/>
      <c r="E221" s="32"/>
      <c r="F221" s="32"/>
      <c r="G221" s="28"/>
      <c r="H221" s="28"/>
      <c r="I221" s="28"/>
      <c r="J221" s="2"/>
      <c r="K221" s="2"/>
      <c r="L221" s="2"/>
      <c r="M221" s="2"/>
      <c r="N221" s="25"/>
      <c r="O221" s="2" t="s">
        <v>307</v>
      </c>
      <c r="P221" s="117">
        <v>1.40795</v>
      </c>
      <c r="Q221" s="117">
        <v>1.3207899999999999</v>
      </c>
      <c r="R221" s="117">
        <v>1.3021</v>
      </c>
      <c r="S221" s="117">
        <v>1.2704500000000001</v>
      </c>
      <c r="T221" s="117">
        <v>1.30419</v>
      </c>
      <c r="U221" s="117">
        <v>1.26993</v>
      </c>
      <c r="V221" s="117">
        <v>1.22899</v>
      </c>
      <c r="W221" s="117">
        <v>1.30911</v>
      </c>
      <c r="X221" s="117">
        <v>1.24516</v>
      </c>
      <c r="Y221" s="117">
        <v>1.2341800000000001</v>
      </c>
      <c r="Z221" s="117">
        <v>1.28738</v>
      </c>
      <c r="AA221" s="117">
        <v>1.3465199999999999</v>
      </c>
      <c r="AB221" s="117">
        <v>1.3775599999999999</v>
      </c>
      <c r="AC221" s="117">
        <v>1.38405</v>
      </c>
      <c r="AD221" s="117">
        <v>1.3540700000000001</v>
      </c>
      <c r="AE221" s="117">
        <v>1.34335</v>
      </c>
      <c r="AF221" s="117">
        <v>1.3137000000000001</v>
      </c>
      <c r="AG221" s="117">
        <v>1.21296</v>
      </c>
      <c r="AH221" s="117">
        <v>1.08355</v>
      </c>
      <c r="AI221" s="117">
        <v>1.2736700000000001</v>
      </c>
      <c r="AJ221" s="117">
        <v>1.23865</v>
      </c>
      <c r="AK221" s="117">
        <v>1.2844899999999999</v>
      </c>
      <c r="AL221" s="117">
        <v>1.2197499999999999</v>
      </c>
      <c r="AM221" s="117">
        <v>1.2736700000000001</v>
      </c>
      <c r="AN221" s="117">
        <v>1.2622599999999999</v>
      </c>
      <c r="AO221" s="117">
        <v>1.26467</v>
      </c>
      <c r="AP221" s="117">
        <v>1.3382799999999999</v>
      </c>
      <c r="AQ221" s="117">
        <v>1.2558</v>
      </c>
      <c r="AR221" s="117">
        <v>1.2940400000000001</v>
      </c>
      <c r="AS221" s="117">
        <v>1.37134</v>
      </c>
      <c r="AT221" s="108">
        <v>1.34354</v>
      </c>
      <c r="AU221" s="111">
        <v>1.3466499999999999</v>
      </c>
      <c r="AV221" s="117"/>
      <c r="AW221" s="2" t="s">
        <v>307</v>
      </c>
      <c r="AX221" s="2"/>
      <c r="AZ221" s="35"/>
      <c r="BA221" s="35"/>
      <c r="BB221" s="104"/>
      <c r="BC221" s="104"/>
    </row>
    <row r="222" spans="1:56" s="4" customFormat="1" x14ac:dyDescent="0.25">
      <c r="A222" s="25"/>
      <c r="B222" s="57"/>
      <c r="C222" s="32"/>
      <c r="D222" s="32"/>
      <c r="E222" s="32"/>
      <c r="F222" s="32"/>
      <c r="G222" s="28"/>
      <c r="H222" s="28"/>
      <c r="I222" s="28"/>
      <c r="J222" s="2"/>
      <c r="K222" s="2"/>
      <c r="L222" s="2"/>
      <c r="M222" s="2"/>
      <c r="N222" s="25"/>
      <c r="O222" s="2" t="s">
        <v>308</v>
      </c>
      <c r="P222" s="108">
        <v>0.30259999999999998</v>
      </c>
      <c r="Q222" s="108">
        <v>0.25790000000000002</v>
      </c>
      <c r="R222" s="108">
        <v>0.2467</v>
      </c>
      <c r="S222" s="108">
        <v>0.2576</v>
      </c>
      <c r="T222" s="108">
        <v>0.25480000000000003</v>
      </c>
      <c r="U222" s="108">
        <v>0.25969999999999999</v>
      </c>
      <c r="V222" s="108">
        <v>0.24060000000000001</v>
      </c>
      <c r="W222" s="108">
        <v>0.24879999999999999</v>
      </c>
      <c r="X222" s="108">
        <v>0.192</v>
      </c>
      <c r="Y222" s="112">
        <v>0.183</v>
      </c>
      <c r="Z222" s="112">
        <v>0.1782</v>
      </c>
      <c r="AA222" s="116">
        <v>0.1925</v>
      </c>
      <c r="AB222" s="116">
        <v>0.17749999999999999</v>
      </c>
      <c r="AC222" s="116">
        <v>0.20119999999999999</v>
      </c>
      <c r="AD222" s="116">
        <v>0.18379999999999999</v>
      </c>
      <c r="AE222" s="116">
        <v>0.17949999999999999</v>
      </c>
      <c r="AF222" s="116">
        <v>0.21099999999999999</v>
      </c>
      <c r="AG222" s="116">
        <v>0.1903</v>
      </c>
      <c r="AH222" s="116">
        <v>0.18440000000000001</v>
      </c>
      <c r="AI222" s="116">
        <v>0.189195</v>
      </c>
      <c r="AJ222" s="116">
        <v>0.19</v>
      </c>
      <c r="AK222" s="116">
        <v>0.21</v>
      </c>
      <c r="AL222" s="116">
        <v>0.19869999999999999</v>
      </c>
      <c r="AM222" s="108">
        <v>0.20610899999999999</v>
      </c>
      <c r="AN222" s="111">
        <v>0.19937299999999999</v>
      </c>
      <c r="AO222" s="112">
        <v>0.17870800000000001</v>
      </c>
      <c r="AP222" s="112">
        <v>0.184028</v>
      </c>
      <c r="AQ222" s="108">
        <v>0.16169700000000001</v>
      </c>
      <c r="AR222" s="113">
        <v>0.17375099999999999</v>
      </c>
      <c r="AS222" s="113">
        <v>0.183168</v>
      </c>
      <c r="AT222" s="117">
        <v>0.18790100000000001</v>
      </c>
      <c r="AU222" s="117">
        <v>0.18251800000000001</v>
      </c>
      <c r="AV222" s="113"/>
      <c r="AW222" s="2" t="s">
        <v>308</v>
      </c>
      <c r="AX222" s="2"/>
      <c r="AZ222" s="35"/>
      <c r="BA222" s="35"/>
      <c r="BB222" s="104"/>
      <c r="BC222" s="104"/>
    </row>
    <row r="223" spans="1:56" x14ac:dyDescent="0.3">
      <c r="AH223" s="6"/>
      <c r="AJ223" s="7"/>
      <c r="AP223" s="6"/>
      <c r="AQ223" s="6"/>
    </row>
    <row r="224" spans="1:56" x14ac:dyDescent="0.3">
      <c r="AH224" s="6"/>
      <c r="AI224" s="7"/>
      <c r="AP224" s="6"/>
    </row>
    <row r="225" spans="1:102" x14ac:dyDescent="0.3">
      <c r="A225" s="118"/>
      <c r="B225" s="118"/>
    </row>
    <row r="226" spans="1:102" x14ac:dyDescent="0.3">
      <c r="B226" s="6" t="s">
        <v>309</v>
      </c>
    </row>
    <row r="227" spans="1:102" x14ac:dyDescent="0.3">
      <c r="AH227" s="6"/>
      <c r="AJ227" s="7"/>
      <c r="AP227" s="6"/>
      <c r="AQ227" s="6"/>
    </row>
    <row r="228" spans="1:102" x14ac:dyDescent="0.3">
      <c r="AH228" s="6"/>
      <c r="AP228" s="7"/>
      <c r="AQ228" s="6"/>
      <c r="AR228" s="6"/>
      <c r="AS228" s="6"/>
      <c r="AT228" s="6"/>
      <c r="AU228" s="6"/>
      <c r="AV228" s="6"/>
      <c r="AW228" s="6"/>
    </row>
    <row r="229" spans="1:102" x14ac:dyDescent="0.3">
      <c r="L229" s="119" t="s">
        <v>310</v>
      </c>
      <c r="M229" s="6" t="s">
        <v>311</v>
      </c>
      <c r="Z229" s="119" t="s">
        <v>312</v>
      </c>
      <c r="AA229" s="6" t="s">
        <v>311</v>
      </c>
      <c r="AK229" s="119" t="s">
        <v>313</v>
      </c>
      <c r="AL229" s="6" t="s">
        <v>311</v>
      </c>
      <c r="AP229" s="6"/>
      <c r="BB229" s="9" t="s">
        <v>314</v>
      </c>
      <c r="BC229" s="2" t="s">
        <v>311</v>
      </c>
      <c r="BD229" s="2"/>
      <c r="BE229" s="2"/>
      <c r="BF229" s="2"/>
      <c r="BG229" s="6"/>
      <c r="BH229" s="6"/>
      <c r="BI229" s="6"/>
      <c r="BK229" s="119" t="s">
        <v>315</v>
      </c>
      <c r="BL229" s="6" t="s">
        <v>311</v>
      </c>
      <c r="BM229" s="6"/>
      <c r="BN229" s="6"/>
      <c r="BO229" s="6"/>
      <c r="BP229" s="6"/>
      <c r="CA229" s="9" t="s">
        <v>316</v>
      </c>
      <c r="CB229" s="4"/>
      <c r="CC229" s="4"/>
      <c r="CD229" s="4"/>
      <c r="CE229" s="4"/>
      <c r="CF229" s="4"/>
      <c r="CG229" s="4"/>
      <c r="CH229" s="4"/>
      <c r="CI229" s="4"/>
      <c r="CJ229" s="4"/>
      <c r="CK229" s="4"/>
      <c r="CL229" s="4"/>
    </row>
    <row r="230" spans="1:102" x14ac:dyDescent="0.3">
      <c r="K230" s="119" t="s">
        <v>317</v>
      </c>
      <c r="L230" s="119" t="s">
        <v>318</v>
      </c>
      <c r="M230" s="120" t="s">
        <v>319</v>
      </c>
      <c r="N230" s="120" t="s">
        <v>320</v>
      </c>
      <c r="O230" s="6" t="s">
        <v>43</v>
      </c>
      <c r="P230" s="6" t="s">
        <v>45</v>
      </c>
      <c r="Q230" s="6" t="s">
        <v>47</v>
      </c>
      <c r="R230" s="6" t="s">
        <v>321</v>
      </c>
      <c r="S230" s="6" t="s">
        <v>53</v>
      </c>
      <c r="T230" s="6" t="s">
        <v>56</v>
      </c>
      <c r="U230" s="6" t="s">
        <v>322</v>
      </c>
      <c r="V230" s="6" t="s">
        <v>60</v>
      </c>
      <c r="W230" s="6" t="s">
        <v>62</v>
      </c>
      <c r="X230" s="6" t="s">
        <v>323</v>
      </c>
      <c r="Z230" s="119" t="s">
        <v>318</v>
      </c>
      <c r="AA230" s="120" t="s">
        <v>319</v>
      </c>
      <c r="AB230" s="120" t="s">
        <v>320</v>
      </c>
      <c r="AC230" s="6" t="s">
        <v>43</v>
      </c>
      <c r="AD230" s="6" t="s">
        <v>113</v>
      </c>
      <c r="AE230" s="6" t="s">
        <v>114</v>
      </c>
      <c r="AF230" s="6" t="s">
        <v>116</v>
      </c>
      <c r="AG230" s="2" t="s">
        <v>324</v>
      </c>
      <c r="AH230" s="2" t="s">
        <v>325</v>
      </c>
      <c r="AI230" s="121" t="s">
        <v>326</v>
      </c>
      <c r="AK230" s="119" t="s">
        <v>318</v>
      </c>
      <c r="AL230" s="120" t="s">
        <v>319</v>
      </c>
      <c r="AM230" s="120" t="s">
        <v>320</v>
      </c>
      <c r="AN230" s="6" t="s">
        <v>43</v>
      </c>
      <c r="AO230" s="6" t="s">
        <v>125</v>
      </c>
      <c r="AP230" s="6" t="s">
        <v>126</v>
      </c>
      <c r="AQ230" s="6" t="s">
        <v>127</v>
      </c>
      <c r="AR230" s="6" t="s">
        <v>128</v>
      </c>
      <c r="AS230" s="6" t="s">
        <v>56</v>
      </c>
      <c r="AT230" s="6" t="s">
        <v>129</v>
      </c>
      <c r="AU230" s="6" t="s">
        <v>116</v>
      </c>
      <c r="AV230" s="6" t="s">
        <v>130</v>
      </c>
      <c r="AW230" s="6" t="s">
        <v>131</v>
      </c>
      <c r="AX230" s="6" t="s">
        <v>132</v>
      </c>
      <c r="AY230" s="6" t="s">
        <v>133</v>
      </c>
      <c r="AZ230" s="98" t="s">
        <v>326</v>
      </c>
      <c r="BA230" s="2"/>
      <c r="BB230" s="9" t="s">
        <v>318</v>
      </c>
      <c r="BC230" s="122" t="s">
        <v>319</v>
      </c>
      <c r="BD230" s="122" t="s">
        <v>320</v>
      </c>
      <c r="BE230" s="2" t="s">
        <v>43</v>
      </c>
      <c r="BF230" s="2" t="s">
        <v>113</v>
      </c>
      <c r="BG230" s="6" t="s">
        <v>155</v>
      </c>
      <c r="BH230" s="6" t="s">
        <v>326</v>
      </c>
      <c r="BI230" s="86" t="s">
        <v>306</v>
      </c>
      <c r="BJ230" s="6"/>
      <c r="BK230" s="119" t="s">
        <v>318</v>
      </c>
      <c r="BL230" s="120" t="s">
        <v>319</v>
      </c>
      <c r="BM230" s="120" t="s">
        <v>320</v>
      </c>
      <c r="BN230" s="6" t="s">
        <v>43</v>
      </c>
      <c r="BO230" s="6" t="s">
        <v>159</v>
      </c>
      <c r="BP230" s="6" t="s">
        <v>160</v>
      </c>
      <c r="BQ230" s="6" t="s">
        <v>161</v>
      </c>
      <c r="BR230" s="6" t="s">
        <v>162</v>
      </c>
      <c r="BS230" s="6" t="s">
        <v>116</v>
      </c>
      <c r="BT230" s="6" t="s">
        <v>163</v>
      </c>
      <c r="BU230" s="6" t="s">
        <v>130</v>
      </c>
      <c r="BV230" s="6" t="s">
        <v>131</v>
      </c>
      <c r="BW230" s="6" t="s">
        <v>132</v>
      </c>
      <c r="BX230" s="6" t="s">
        <v>133</v>
      </c>
      <c r="BY230" s="98" t="s">
        <v>326</v>
      </c>
      <c r="BZ230" s="98"/>
      <c r="CA230" s="9" t="s">
        <v>318</v>
      </c>
      <c r="CB230" s="122" t="s">
        <v>319</v>
      </c>
      <c r="CC230" s="122" t="s">
        <v>320</v>
      </c>
      <c r="CD230" s="9" t="s">
        <v>186</v>
      </c>
      <c r="CE230" s="9" t="s">
        <v>187</v>
      </c>
      <c r="CF230" s="9" t="s">
        <v>221</v>
      </c>
      <c r="CG230" s="9" t="s">
        <v>327</v>
      </c>
      <c r="CH230" s="9" t="s">
        <v>223</v>
      </c>
      <c r="CI230" s="9" t="s">
        <v>225</v>
      </c>
      <c r="CJ230" s="9" t="s">
        <v>226</v>
      </c>
      <c r="CK230" s="9" t="s">
        <v>227</v>
      </c>
      <c r="CL230" s="9" t="s">
        <v>328</v>
      </c>
      <c r="CM230" s="6" t="s">
        <v>326</v>
      </c>
      <c r="CN230" s="6"/>
      <c r="CO230" s="98" t="s">
        <v>329</v>
      </c>
      <c r="CP230" s="122" t="s">
        <v>319</v>
      </c>
      <c r="CQ230" s="122" t="s">
        <v>320</v>
      </c>
      <c r="CR230" s="86" t="s">
        <v>303</v>
      </c>
      <c r="CS230" s="86" t="s">
        <v>304</v>
      </c>
      <c r="CT230" s="86" t="s">
        <v>305</v>
      </c>
      <c r="CU230" s="86" t="s">
        <v>306</v>
      </c>
      <c r="CV230" s="86" t="s">
        <v>308</v>
      </c>
      <c r="CW230" s="86" t="s">
        <v>307</v>
      </c>
      <c r="CX230" s="98" t="s">
        <v>330</v>
      </c>
    </row>
    <row r="231" spans="1:102" x14ac:dyDescent="0.3">
      <c r="K231" s="6" t="s">
        <v>331</v>
      </c>
      <c r="L231" s="6" t="s">
        <v>43</v>
      </c>
      <c r="M231" s="123" t="s">
        <v>332</v>
      </c>
      <c r="N231" s="98" t="s">
        <v>1</v>
      </c>
      <c r="O231" s="124">
        <v>6031.8</v>
      </c>
      <c r="P231" s="124">
        <v>4828</v>
      </c>
      <c r="Q231" s="124">
        <v>625.6</v>
      </c>
      <c r="R231" s="124">
        <v>578.20000000000005</v>
      </c>
      <c r="S231" s="124">
        <v>3996.3</v>
      </c>
      <c r="T231" s="124">
        <v>1186.4000000000001</v>
      </c>
      <c r="U231" s="124">
        <v>849.09999999999945</v>
      </c>
      <c r="V231" s="124">
        <v>3519.8</v>
      </c>
      <c r="W231" s="124">
        <v>1067.0999999999999</v>
      </c>
      <c r="X231" s="124">
        <v>1444.9</v>
      </c>
      <c r="Z231" s="6" t="s">
        <v>43</v>
      </c>
      <c r="AA231" s="123" t="s">
        <v>332</v>
      </c>
      <c r="AB231" s="98" t="s">
        <v>1</v>
      </c>
      <c r="AC231" s="125">
        <v>5139</v>
      </c>
      <c r="AD231" s="124">
        <v>2535.6</v>
      </c>
      <c r="AE231" s="124">
        <v>2603.3000000000002</v>
      </c>
      <c r="AF231" s="124">
        <v>1867.2</v>
      </c>
      <c r="AG231" s="124">
        <v>2810</v>
      </c>
      <c r="AH231" s="126">
        <v>461.7</v>
      </c>
      <c r="AK231" s="6" t="s">
        <v>43</v>
      </c>
      <c r="AL231" s="123" t="s">
        <v>332</v>
      </c>
      <c r="AM231" s="98" t="s">
        <v>1</v>
      </c>
      <c r="AN231" s="124">
        <v>1254</v>
      </c>
      <c r="AO231" s="124">
        <v>763</v>
      </c>
      <c r="AP231" s="124">
        <v>390</v>
      </c>
      <c r="AQ231" s="124">
        <v>101</v>
      </c>
      <c r="AR231" s="124"/>
      <c r="AS231" s="124"/>
      <c r="AT231" s="124">
        <v>692</v>
      </c>
      <c r="AU231" s="124">
        <v>421</v>
      </c>
      <c r="AV231" s="124">
        <v>141</v>
      </c>
      <c r="AW231" s="124"/>
      <c r="AX231" s="124"/>
      <c r="AY231" s="124"/>
      <c r="AZ231" s="6"/>
      <c r="BA231" s="2"/>
      <c r="BB231" s="2" t="s">
        <v>43</v>
      </c>
      <c r="BC231" s="127" t="s">
        <v>332</v>
      </c>
      <c r="BD231" s="98" t="s">
        <v>1</v>
      </c>
      <c r="BE231" s="36"/>
      <c r="BF231" s="35"/>
      <c r="BG231" s="124"/>
      <c r="BH231" s="124"/>
      <c r="BI231" s="113">
        <v>0.15942352453528044</v>
      </c>
      <c r="BJ231" s="6"/>
      <c r="BK231" s="6" t="s">
        <v>43</v>
      </c>
      <c r="BL231" s="123" t="s">
        <v>332</v>
      </c>
      <c r="BM231" s="98" t="s">
        <v>1</v>
      </c>
      <c r="BN231" s="124">
        <v>1371</v>
      </c>
      <c r="BO231" s="124">
        <v>658</v>
      </c>
      <c r="BP231" s="124">
        <v>462</v>
      </c>
      <c r="BQ231" s="124">
        <v>251</v>
      </c>
      <c r="BR231" s="124">
        <v>0</v>
      </c>
      <c r="BS231" s="124">
        <v>708.45933014354068</v>
      </c>
      <c r="BT231" s="124">
        <v>77.624401913875602</v>
      </c>
      <c r="BU231" s="124">
        <v>584.91626794258377</v>
      </c>
      <c r="BV231" s="124">
        <v>512</v>
      </c>
      <c r="BW231" s="124">
        <v>584</v>
      </c>
      <c r="BX231" s="124">
        <v>275</v>
      </c>
      <c r="BY231" s="6"/>
      <c r="BZ231" s="6"/>
      <c r="CA231" s="2" t="s">
        <v>186</v>
      </c>
      <c r="CB231" s="127" t="s">
        <v>332</v>
      </c>
      <c r="CC231" s="98" t="s">
        <v>1</v>
      </c>
      <c r="CD231" s="35">
        <v>585</v>
      </c>
      <c r="CE231" s="35">
        <v>2128</v>
      </c>
      <c r="CF231" s="35">
        <v>1148</v>
      </c>
      <c r="CG231" s="35">
        <v>22077.872340425532</v>
      </c>
      <c r="CH231" s="35">
        <v>7626</v>
      </c>
      <c r="CI231" s="35">
        <v>12562</v>
      </c>
      <c r="CJ231" s="35">
        <v>851</v>
      </c>
      <c r="CK231" s="36"/>
      <c r="CL231" s="36">
        <v>770</v>
      </c>
      <c r="CM231" s="6"/>
      <c r="CN231" s="6"/>
      <c r="CO231" s="98" t="s">
        <v>303</v>
      </c>
      <c r="CP231" s="127" t="s">
        <v>332</v>
      </c>
      <c r="CQ231" s="98" t="s">
        <v>1</v>
      </c>
      <c r="CR231" s="128">
        <v>1.2317</v>
      </c>
      <c r="CS231" s="129">
        <v>9.4000000000000004E-3</v>
      </c>
      <c r="CT231" s="129">
        <v>9.3999999999999997E-4</v>
      </c>
      <c r="CU231" s="130">
        <v>0.15942352453528044</v>
      </c>
      <c r="CV231" s="128">
        <v>0.30259999999999998</v>
      </c>
      <c r="CW231" s="128">
        <v>1.40795</v>
      </c>
      <c r="CX231" s="98">
        <v>1</v>
      </c>
    </row>
    <row r="232" spans="1:102" x14ac:dyDescent="0.3">
      <c r="K232" s="6" t="s">
        <v>76</v>
      </c>
      <c r="L232" s="2" t="s">
        <v>45</v>
      </c>
      <c r="M232" s="123" t="s">
        <v>332</v>
      </c>
      <c r="N232" s="98" t="s">
        <v>2</v>
      </c>
      <c r="O232" s="124">
        <v>6310.3</v>
      </c>
      <c r="P232" s="124">
        <v>5060.3999999999996</v>
      </c>
      <c r="Q232" s="124">
        <v>660.6</v>
      </c>
      <c r="R232" s="124">
        <v>589.29999999999995</v>
      </c>
      <c r="S232" s="124">
        <v>4224</v>
      </c>
      <c r="T232" s="124">
        <v>1229</v>
      </c>
      <c r="U232" s="124">
        <v>857.30000000000018</v>
      </c>
      <c r="V232" s="124">
        <v>3766.2</v>
      </c>
      <c r="W232" s="124">
        <v>1132.5999999999999</v>
      </c>
      <c r="X232" s="124">
        <v>1411.5</v>
      </c>
      <c r="Z232" s="2" t="s">
        <v>113</v>
      </c>
      <c r="AA232" s="123" t="s">
        <v>332</v>
      </c>
      <c r="AB232" s="98" t="s">
        <v>2</v>
      </c>
      <c r="AC232" s="125">
        <v>5354</v>
      </c>
      <c r="AD232" s="124">
        <v>2594.9</v>
      </c>
      <c r="AE232" s="124">
        <v>2759</v>
      </c>
      <c r="AF232" s="124">
        <v>1961.2</v>
      </c>
      <c r="AG232" s="124">
        <v>2936.4</v>
      </c>
      <c r="AH232" s="126">
        <v>456.29999999999995</v>
      </c>
      <c r="AK232" s="2" t="s">
        <v>125</v>
      </c>
      <c r="AL232" s="123" t="s">
        <v>332</v>
      </c>
      <c r="AM232" s="98" t="s">
        <v>2</v>
      </c>
      <c r="AN232" s="124">
        <v>1343</v>
      </c>
      <c r="AO232" s="124">
        <v>823</v>
      </c>
      <c r="AP232" s="124">
        <v>418</v>
      </c>
      <c r="AQ232" s="124">
        <v>102</v>
      </c>
      <c r="AR232" s="124"/>
      <c r="AS232" s="124"/>
      <c r="AT232" s="124">
        <v>746</v>
      </c>
      <c r="AU232" s="124">
        <v>450</v>
      </c>
      <c r="AV232" s="124">
        <v>147</v>
      </c>
      <c r="AW232" s="124"/>
      <c r="AX232" s="124"/>
      <c r="AY232" s="124"/>
      <c r="AZ232" s="6"/>
      <c r="BA232" s="2"/>
      <c r="BB232" s="2" t="s">
        <v>113</v>
      </c>
      <c r="BC232" s="127" t="s">
        <v>332</v>
      </c>
      <c r="BD232" s="98" t="s">
        <v>2</v>
      </c>
      <c r="BE232" s="36"/>
      <c r="BF232" s="35"/>
      <c r="BG232" s="124"/>
      <c r="BH232" s="124"/>
      <c r="BI232" s="113">
        <v>0.15112588786459122</v>
      </c>
      <c r="BJ232" s="6"/>
      <c r="BK232" s="2" t="s">
        <v>159</v>
      </c>
      <c r="BL232" s="123" t="s">
        <v>332</v>
      </c>
      <c r="BM232" s="98" t="s">
        <v>2</v>
      </c>
      <c r="BN232" s="124">
        <v>1368</v>
      </c>
      <c r="BO232" s="124">
        <v>651</v>
      </c>
      <c r="BP232" s="124">
        <v>484</v>
      </c>
      <c r="BQ232" s="124">
        <v>233</v>
      </c>
      <c r="BR232" s="124">
        <v>0</v>
      </c>
      <c r="BS232" s="124">
        <v>720.54961832061065</v>
      </c>
      <c r="BT232" s="124">
        <v>69.966412213740455</v>
      </c>
      <c r="BU232" s="124">
        <v>577.4839694656489</v>
      </c>
      <c r="BV232" s="124">
        <v>512</v>
      </c>
      <c r="BW232" s="124">
        <v>584</v>
      </c>
      <c r="BX232" s="124">
        <v>272</v>
      </c>
      <c r="BY232" s="6"/>
      <c r="BZ232" s="6"/>
      <c r="CA232" s="2" t="s">
        <v>187</v>
      </c>
      <c r="CB232" s="127" t="s">
        <v>332</v>
      </c>
      <c r="CC232" s="98" t="s">
        <v>2</v>
      </c>
      <c r="CD232" s="35">
        <v>587</v>
      </c>
      <c r="CE232" s="35">
        <v>2134</v>
      </c>
      <c r="CF232" s="35">
        <v>1267</v>
      </c>
      <c r="CG232" s="35">
        <v>23612.666666666668</v>
      </c>
      <c r="CH232" s="35">
        <v>9421</v>
      </c>
      <c r="CI232" s="35">
        <v>16090</v>
      </c>
      <c r="CJ232" s="35">
        <v>1016</v>
      </c>
      <c r="CK232" s="36"/>
      <c r="CL232" s="36">
        <v>770</v>
      </c>
      <c r="CM232" s="6"/>
      <c r="CN232" s="6"/>
      <c r="CO232" s="98" t="s">
        <v>304</v>
      </c>
      <c r="CP232" s="127" t="s">
        <v>332</v>
      </c>
      <c r="CQ232" s="98" t="s">
        <v>2</v>
      </c>
      <c r="CR232" s="128">
        <v>1.1684000000000001</v>
      </c>
      <c r="CS232" s="129">
        <v>8.9999999999999993E-3</v>
      </c>
      <c r="CT232" s="129">
        <v>8.9999999999999998E-4</v>
      </c>
      <c r="CU232" s="130">
        <v>0.15112588786459122</v>
      </c>
      <c r="CV232" s="128">
        <v>0.25790000000000002</v>
      </c>
      <c r="CW232" s="128">
        <v>1.3207899999999999</v>
      </c>
      <c r="CX232" s="98">
        <v>1</v>
      </c>
    </row>
    <row r="233" spans="1:102" x14ac:dyDescent="0.3">
      <c r="K233" s="6" t="s">
        <v>76</v>
      </c>
      <c r="L233" s="2" t="s">
        <v>47</v>
      </c>
      <c r="M233" s="123" t="s">
        <v>332</v>
      </c>
      <c r="N233" s="98" t="s">
        <v>3</v>
      </c>
      <c r="O233" s="124">
        <v>6303.6</v>
      </c>
      <c r="P233" s="124">
        <v>5060.1000000000004</v>
      </c>
      <c r="Q233" s="124">
        <v>683.59999999999991</v>
      </c>
      <c r="R233" s="124">
        <v>560</v>
      </c>
      <c r="S233" s="124">
        <v>4270.6999999999971</v>
      </c>
      <c r="T233" s="124">
        <v>2292.0999999999995</v>
      </c>
      <c r="U233" s="124">
        <v>-259.09999999999582</v>
      </c>
      <c r="V233" s="124">
        <v>3759.1000000000004</v>
      </c>
      <c r="W233" s="124">
        <v>1154.2999999999997</v>
      </c>
      <c r="X233" s="124">
        <v>1389.5999999999995</v>
      </c>
      <c r="Z233" s="2" t="s">
        <v>114</v>
      </c>
      <c r="AA233" s="123" t="s">
        <v>332</v>
      </c>
      <c r="AB233" s="98" t="s">
        <v>3</v>
      </c>
      <c r="AC233" s="125">
        <v>5369</v>
      </c>
      <c r="AD233" s="124">
        <v>2511</v>
      </c>
      <c r="AE233" s="124">
        <v>2858.4</v>
      </c>
      <c r="AF233" s="124">
        <v>1930</v>
      </c>
      <c r="AG233" s="124">
        <v>2962.2</v>
      </c>
      <c r="AH233" s="126">
        <v>477.2</v>
      </c>
      <c r="AK233" s="2" t="s">
        <v>126</v>
      </c>
      <c r="AL233" s="123" t="s">
        <v>332</v>
      </c>
      <c r="AM233" s="98" t="s">
        <v>3</v>
      </c>
      <c r="AN233" s="124">
        <v>1375</v>
      </c>
      <c r="AO233" s="124">
        <v>854</v>
      </c>
      <c r="AP233" s="124">
        <v>416</v>
      </c>
      <c r="AQ233" s="124">
        <v>105</v>
      </c>
      <c r="AR233" s="124"/>
      <c r="AS233" s="124"/>
      <c r="AT233" s="124">
        <v>776</v>
      </c>
      <c r="AU233" s="124">
        <v>448</v>
      </c>
      <c r="AV233" s="124">
        <v>151</v>
      </c>
      <c r="AW233" s="124"/>
      <c r="AX233" s="124"/>
      <c r="AY233" s="124"/>
      <c r="AZ233" s="6"/>
      <c r="BA233" s="2"/>
      <c r="BB233" s="2" t="s">
        <v>155</v>
      </c>
      <c r="BC233" s="127" t="s">
        <v>332</v>
      </c>
      <c r="BD233" s="98" t="s">
        <v>3</v>
      </c>
      <c r="BE233" s="36"/>
      <c r="BF233" s="35"/>
      <c r="BG233" s="124"/>
      <c r="BH233" s="124"/>
      <c r="BI233" s="113">
        <v>0.14558159848595137</v>
      </c>
      <c r="BJ233" s="6"/>
      <c r="BK233" s="2" t="s">
        <v>160</v>
      </c>
      <c r="BL233" s="123" t="s">
        <v>332</v>
      </c>
      <c r="BM233" s="98" t="s">
        <v>3</v>
      </c>
      <c r="BN233" s="124">
        <v>1391</v>
      </c>
      <c r="BO233" s="124">
        <v>649</v>
      </c>
      <c r="BP233" s="124">
        <v>513</v>
      </c>
      <c r="BQ233" s="124">
        <v>229</v>
      </c>
      <c r="BR233" s="124">
        <v>0</v>
      </c>
      <c r="BS233" s="124">
        <v>713.67961165048541</v>
      </c>
      <c r="BT233" s="124">
        <v>75.834951456310677</v>
      </c>
      <c r="BU233" s="124">
        <v>601.48543689320388</v>
      </c>
      <c r="BV233" s="124">
        <v>499</v>
      </c>
      <c r="BW233" s="124">
        <v>605</v>
      </c>
      <c r="BX233" s="124">
        <v>287</v>
      </c>
      <c r="BY233" s="6"/>
      <c r="BZ233" s="6"/>
      <c r="CA233" s="2" t="s">
        <v>221</v>
      </c>
      <c r="CB233" s="127" t="s">
        <v>332</v>
      </c>
      <c r="CC233" s="98" t="s">
        <v>3</v>
      </c>
      <c r="CD233" s="35">
        <v>575</v>
      </c>
      <c r="CE233" s="35">
        <v>2061</v>
      </c>
      <c r="CF233" s="35">
        <v>1225</v>
      </c>
      <c r="CG233" s="35">
        <v>24626.25</v>
      </c>
      <c r="CH233" s="35">
        <v>8775</v>
      </c>
      <c r="CI233" s="35">
        <v>16485</v>
      </c>
      <c r="CJ233" s="35">
        <v>1016</v>
      </c>
      <c r="CK233" s="36"/>
      <c r="CL233" s="36">
        <v>828.5</v>
      </c>
      <c r="CM233" s="6"/>
      <c r="CN233" s="6"/>
      <c r="CO233" s="98" t="s">
        <v>305</v>
      </c>
      <c r="CP233" s="127" t="s">
        <v>332</v>
      </c>
      <c r="CQ233" s="98" t="s">
        <v>3</v>
      </c>
      <c r="CR233" s="128">
        <v>1.1620999999999999</v>
      </c>
      <c r="CS233" s="129">
        <v>8.8000000000000005E-3</v>
      </c>
      <c r="CT233" s="129">
        <v>8.9999999999999998E-4</v>
      </c>
      <c r="CU233" s="130">
        <v>0.14558159848595137</v>
      </c>
      <c r="CV233" s="128">
        <v>0.2467</v>
      </c>
      <c r="CW233" s="128">
        <v>1.3021</v>
      </c>
      <c r="CX233" s="98">
        <v>1</v>
      </c>
    </row>
    <row r="234" spans="1:102" x14ac:dyDescent="0.3">
      <c r="K234" s="6" t="s">
        <v>76</v>
      </c>
      <c r="L234" s="2" t="s">
        <v>321</v>
      </c>
      <c r="M234" s="123" t="s">
        <v>332</v>
      </c>
      <c r="N234" s="98" t="s">
        <v>4</v>
      </c>
      <c r="O234" s="125">
        <v>6632.7</v>
      </c>
      <c r="P234" s="124">
        <v>5370.3</v>
      </c>
      <c r="Q234" s="124">
        <v>737.1</v>
      </c>
      <c r="R234" s="124">
        <v>525.29999999999995</v>
      </c>
      <c r="S234" s="124">
        <v>4612.5</v>
      </c>
      <c r="T234" s="124">
        <v>1504</v>
      </c>
      <c r="U234" s="124">
        <v>516.19999999999982</v>
      </c>
      <c r="V234" s="124">
        <v>3926</v>
      </c>
      <c r="W234" s="124">
        <v>1188.9000000000001</v>
      </c>
      <c r="X234" s="124">
        <v>1517.8</v>
      </c>
      <c r="Z234" s="2" t="s">
        <v>116</v>
      </c>
      <c r="AA234" s="123" t="s">
        <v>332</v>
      </c>
      <c r="AB234" s="98" t="s">
        <v>4</v>
      </c>
      <c r="AC234" s="125">
        <v>5163</v>
      </c>
      <c r="AD234" s="124">
        <v>2371.5</v>
      </c>
      <c r="AE234" s="124">
        <v>2791.2999999999993</v>
      </c>
      <c r="AF234" s="124">
        <v>1907.6000000000004</v>
      </c>
      <c r="AG234" s="124">
        <v>2798.4000000000015</v>
      </c>
      <c r="AH234" s="126">
        <v>456.79999999999995</v>
      </c>
      <c r="AK234" s="2" t="s">
        <v>127</v>
      </c>
      <c r="AL234" s="123" t="s">
        <v>332</v>
      </c>
      <c r="AM234" s="98" t="s">
        <v>4</v>
      </c>
      <c r="AN234" s="125">
        <v>1384.5</v>
      </c>
      <c r="AO234" s="124">
        <v>852</v>
      </c>
      <c r="AP234" s="124">
        <v>427</v>
      </c>
      <c r="AQ234" s="124">
        <v>106</v>
      </c>
      <c r="AR234" s="124"/>
      <c r="AS234" s="124"/>
      <c r="AT234" s="124">
        <v>770</v>
      </c>
      <c r="AU234" s="124">
        <v>466</v>
      </c>
      <c r="AV234" s="124">
        <v>149</v>
      </c>
      <c r="AW234" s="124"/>
      <c r="AX234" s="124"/>
      <c r="AY234" s="124"/>
      <c r="AZ234" s="6"/>
      <c r="BA234" s="2"/>
      <c r="BB234" s="2" t="s">
        <v>326</v>
      </c>
      <c r="BC234" s="127" t="s">
        <v>332</v>
      </c>
      <c r="BD234" s="98" t="s">
        <v>4</v>
      </c>
      <c r="BE234" s="36">
        <v>465.43299999999999</v>
      </c>
      <c r="BF234" s="35">
        <v>465.43299999999999</v>
      </c>
      <c r="BG234" s="124"/>
      <c r="BH234" s="124"/>
      <c r="BI234" s="113">
        <v>0.14538687447297258</v>
      </c>
      <c r="BJ234" s="6"/>
      <c r="BK234" s="2" t="s">
        <v>161</v>
      </c>
      <c r="BL234" s="123" t="s">
        <v>332</v>
      </c>
      <c r="BM234" s="98" t="s">
        <v>4</v>
      </c>
      <c r="BN234" s="125">
        <v>1558</v>
      </c>
      <c r="BO234" s="124">
        <v>686</v>
      </c>
      <c r="BP234" s="124">
        <v>-471</v>
      </c>
      <c r="BQ234" s="124">
        <v>1343</v>
      </c>
      <c r="BR234" s="124">
        <v>0</v>
      </c>
      <c r="BS234" s="124">
        <v>859.33966929397502</v>
      </c>
      <c r="BT234" s="124">
        <v>55.029120962437418</v>
      </c>
      <c r="BU234" s="124">
        <v>643.63120974358753</v>
      </c>
      <c r="BV234" s="124">
        <v>477</v>
      </c>
      <c r="BW234" s="124">
        <v>709</v>
      </c>
      <c r="BX234" s="124">
        <v>372</v>
      </c>
      <c r="BY234" s="6"/>
      <c r="BZ234" s="6"/>
      <c r="CA234" s="2" t="s">
        <v>327</v>
      </c>
      <c r="CB234" s="127" t="s">
        <v>332</v>
      </c>
      <c r="CC234" s="98" t="s">
        <v>4</v>
      </c>
      <c r="CD234" s="36">
        <v>567.58000000000004</v>
      </c>
      <c r="CE234" s="2">
        <v>1973</v>
      </c>
      <c r="CF234" s="35">
        <v>1230</v>
      </c>
      <c r="CG234" s="35">
        <v>31620</v>
      </c>
      <c r="CH234" s="36">
        <v>7060</v>
      </c>
      <c r="CI234" s="36">
        <v>19520</v>
      </c>
      <c r="CJ234" s="36">
        <v>920</v>
      </c>
      <c r="CK234" s="36"/>
      <c r="CL234" s="36">
        <v>828.5</v>
      </c>
      <c r="CM234" s="6"/>
      <c r="CN234" s="6"/>
      <c r="CO234" s="98" t="s">
        <v>306</v>
      </c>
      <c r="CP234" s="127" t="s">
        <v>332</v>
      </c>
      <c r="CQ234" s="98" t="s">
        <v>4</v>
      </c>
      <c r="CR234" s="128">
        <v>1.1395999999999999</v>
      </c>
      <c r="CS234" s="129">
        <v>9.1000000000000004E-3</v>
      </c>
      <c r="CT234" s="129">
        <v>8.9999999999999998E-4</v>
      </c>
      <c r="CU234" s="130">
        <v>0.14538687447297258</v>
      </c>
      <c r="CV234" s="128">
        <v>0.2576</v>
      </c>
      <c r="CW234" s="128">
        <v>1.2704500000000001</v>
      </c>
      <c r="CX234" s="98">
        <v>1</v>
      </c>
    </row>
    <row r="235" spans="1:102" x14ac:dyDescent="0.3">
      <c r="K235" s="6" t="s">
        <v>80</v>
      </c>
      <c r="L235" s="2" t="s">
        <v>53</v>
      </c>
      <c r="M235" s="123" t="s">
        <v>333</v>
      </c>
      <c r="N235" s="98" t="s">
        <v>1</v>
      </c>
      <c r="O235" s="125">
        <v>6305.9</v>
      </c>
      <c r="P235" s="124">
        <v>5159</v>
      </c>
      <c r="Q235" s="124">
        <v>678.2</v>
      </c>
      <c r="R235" s="124">
        <v>468.7</v>
      </c>
      <c r="S235" s="124">
        <v>4305.8999999999996</v>
      </c>
      <c r="T235" s="124">
        <v>1289.0999999999999</v>
      </c>
      <c r="U235" s="124">
        <v>710.89999999999964</v>
      </c>
      <c r="V235" s="124">
        <v>3760.4</v>
      </c>
      <c r="W235" s="124">
        <v>1157.9000000000001</v>
      </c>
      <c r="X235" s="124">
        <v>1387.6</v>
      </c>
      <c r="Z235" s="2" t="s">
        <v>324</v>
      </c>
      <c r="AA235" s="123" t="s">
        <v>333</v>
      </c>
      <c r="AB235" s="98" t="s">
        <v>1</v>
      </c>
      <c r="AC235" s="125">
        <v>4955.6000000000004</v>
      </c>
      <c r="AD235" s="124">
        <v>2240</v>
      </c>
      <c r="AE235" s="124">
        <v>2715.1</v>
      </c>
      <c r="AF235" s="124">
        <v>1846.1999999999998</v>
      </c>
      <c r="AG235" s="124">
        <v>2663</v>
      </c>
      <c r="AH235" s="126">
        <v>445.4</v>
      </c>
      <c r="AK235" s="2" t="s">
        <v>128</v>
      </c>
      <c r="AL235" s="123" t="s">
        <v>333</v>
      </c>
      <c r="AM235" s="98" t="s">
        <v>1</v>
      </c>
      <c r="AN235" s="125">
        <v>1266</v>
      </c>
      <c r="AO235" s="124">
        <v>749</v>
      </c>
      <c r="AP235" s="124">
        <v>411</v>
      </c>
      <c r="AQ235" s="124">
        <v>106</v>
      </c>
      <c r="AR235" s="124"/>
      <c r="AS235" s="124"/>
      <c r="AT235" s="124">
        <v>676</v>
      </c>
      <c r="AU235" s="124">
        <v>444</v>
      </c>
      <c r="AV235" s="124">
        <v>146</v>
      </c>
      <c r="AW235" s="124">
        <v>522</v>
      </c>
      <c r="AX235" s="124">
        <v>744</v>
      </c>
      <c r="AY235" s="124"/>
      <c r="AZ235" s="6"/>
      <c r="BA235" s="2"/>
      <c r="BB235" s="2"/>
      <c r="BC235" s="127" t="s">
        <v>333</v>
      </c>
      <c r="BD235" s="98" t="s">
        <v>1</v>
      </c>
      <c r="BE235" s="36">
        <v>478.51000000000022</v>
      </c>
      <c r="BF235" s="35">
        <v>478.51000000000022</v>
      </c>
      <c r="BG235" s="124"/>
      <c r="BH235" s="124"/>
      <c r="BI235" s="113">
        <v>0.14898466947751077</v>
      </c>
      <c r="BJ235" s="6"/>
      <c r="BK235" s="2" t="s">
        <v>162</v>
      </c>
      <c r="BL235" s="123" t="s">
        <v>333</v>
      </c>
      <c r="BM235" s="98" t="s">
        <v>1</v>
      </c>
      <c r="BN235" s="125">
        <v>1254</v>
      </c>
      <c r="BO235" s="124">
        <v>566</v>
      </c>
      <c r="BP235" s="124">
        <v>445</v>
      </c>
      <c r="BQ235" s="124">
        <v>243</v>
      </c>
      <c r="BR235" s="124">
        <v>0</v>
      </c>
      <c r="BS235" s="124">
        <v>648</v>
      </c>
      <c r="BT235" s="124">
        <v>71</v>
      </c>
      <c r="BU235" s="124">
        <v>535</v>
      </c>
      <c r="BV235" s="124">
        <v>333</v>
      </c>
      <c r="BW235" s="124">
        <v>612</v>
      </c>
      <c r="BX235" s="124">
        <v>309</v>
      </c>
      <c r="BY235" s="6"/>
      <c r="BZ235" s="6"/>
      <c r="CA235" s="2" t="s">
        <v>223</v>
      </c>
      <c r="CB235" s="127" t="s">
        <v>333</v>
      </c>
      <c r="CC235" s="98" t="s">
        <v>1</v>
      </c>
      <c r="CD235" s="36">
        <v>599.48</v>
      </c>
      <c r="CE235" s="36">
        <v>2250</v>
      </c>
      <c r="CF235" s="35">
        <v>1308.22</v>
      </c>
      <c r="CG235" s="35">
        <v>31431</v>
      </c>
      <c r="CH235" s="36">
        <v>8694</v>
      </c>
      <c r="CI235" s="36">
        <v>12884</v>
      </c>
      <c r="CJ235" s="36">
        <v>946</v>
      </c>
      <c r="CK235" s="36"/>
      <c r="CL235" s="36">
        <v>1666</v>
      </c>
      <c r="CM235" s="6"/>
      <c r="CN235" s="6"/>
      <c r="CO235" s="98" t="s">
        <v>308</v>
      </c>
      <c r="CP235" s="127" t="s">
        <v>333</v>
      </c>
      <c r="CQ235" s="98" t="s">
        <v>1</v>
      </c>
      <c r="CR235" s="128">
        <v>1.1232</v>
      </c>
      <c r="CS235" s="129">
        <v>8.9999999999999993E-3</v>
      </c>
      <c r="CT235" s="129">
        <v>8.8000000000000003E-4</v>
      </c>
      <c r="CU235" s="130">
        <v>0.14898466947751077</v>
      </c>
      <c r="CV235" s="128">
        <v>0.25480000000000003</v>
      </c>
      <c r="CW235" s="128">
        <v>1.30419</v>
      </c>
      <c r="CX235" s="98">
        <v>1</v>
      </c>
    </row>
    <row r="236" spans="1:102" x14ac:dyDescent="0.3">
      <c r="K236" s="6" t="s">
        <v>80</v>
      </c>
      <c r="L236" s="2" t="s">
        <v>56</v>
      </c>
      <c r="M236" s="123" t="s">
        <v>333</v>
      </c>
      <c r="N236" s="98" t="s">
        <v>2</v>
      </c>
      <c r="O236" s="125">
        <v>6823</v>
      </c>
      <c r="P236" s="124">
        <v>5535</v>
      </c>
      <c r="Q236" s="124">
        <v>725</v>
      </c>
      <c r="R236" s="124">
        <v>563</v>
      </c>
      <c r="S236" s="124">
        <v>4671.8</v>
      </c>
      <c r="T236" s="124">
        <v>1336.9</v>
      </c>
      <c r="U236" s="124">
        <v>814.29999999999927</v>
      </c>
      <c r="V236" s="124">
        <v>4122.1000000000004</v>
      </c>
      <c r="W236" s="124">
        <v>1220.3</v>
      </c>
      <c r="X236" s="124">
        <v>1480.6</v>
      </c>
      <c r="Z236" s="2" t="s">
        <v>325</v>
      </c>
      <c r="AA236" s="123" t="s">
        <v>333</v>
      </c>
      <c r="AB236" s="98" t="s">
        <v>2</v>
      </c>
      <c r="AC236" s="125">
        <v>5341.3</v>
      </c>
      <c r="AD236" s="124">
        <v>2400.4</v>
      </c>
      <c r="AE236" s="124">
        <v>2940.9</v>
      </c>
      <c r="AF236" s="124">
        <v>2007.6</v>
      </c>
      <c r="AG236" s="124">
        <v>2884.3</v>
      </c>
      <c r="AH236" s="126">
        <v>449.4</v>
      </c>
      <c r="AK236" s="6" t="s">
        <v>56</v>
      </c>
      <c r="AL236" s="123" t="s">
        <v>333</v>
      </c>
      <c r="AM236" s="98" t="s">
        <v>2</v>
      </c>
      <c r="AN236" s="125">
        <v>1400</v>
      </c>
      <c r="AO236" s="124">
        <v>842</v>
      </c>
      <c r="AP236" s="124">
        <v>447</v>
      </c>
      <c r="AQ236" s="124">
        <v>111</v>
      </c>
      <c r="AR236" s="124"/>
      <c r="AS236" s="124"/>
      <c r="AT236" s="124">
        <v>764</v>
      </c>
      <c r="AU236" s="124">
        <v>479</v>
      </c>
      <c r="AV236" s="124">
        <v>157</v>
      </c>
      <c r="AW236" s="124">
        <v>589</v>
      </c>
      <c r="AX236" s="124">
        <v>811</v>
      </c>
      <c r="AY236" s="124"/>
      <c r="AZ236" s="6"/>
      <c r="BA236" s="2"/>
      <c r="BB236" s="2"/>
      <c r="BC236" s="127" t="s">
        <v>333</v>
      </c>
      <c r="BD236" s="98" t="s">
        <v>2</v>
      </c>
      <c r="BE236" s="36">
        <v>653.39400000000001</v>
      </c>
      <c r="BF236" s="35">
        <v>653.39400000000001</v>
      </c>
      <c r="BG236" s="124"/>
      <c r="BH236" s="124"/>
      <c r="BI236" s="113">
        <v>0.14562824022834508</v>
      </c>
      <c r="BJ236" s="6"/>
      <c r="BK236" s="2" t="s">
        <v>116</v>
      </c>
      <c r="BL236" s="123" t="s">
        <v>333</v>
      </c>
      <c r="BM236" s="98" t="s">
        <v>2</v>
      </c>
      <c r="BN236" s="125">
        <v>1310</v>
      </c>
      <c r="BO236" s="124">
        <v>584</v>
      </c>
      <c r="BP236" s="124">
        <v>480</v>
      </c>
      <c r="BQ236" s="124">
        <v>246</v>
      </c>
      <c r="BR236" s="124">
        <v>0</v>
      </c>
      <c r="BS236" s="124">
        <v>690</v>
      </c>
      <c r="BT236" s="124">
        <v>67</v>
      </c>
      <c r="BU236" s="124">
        <v>553</v>
      </c>
      <c r="BV236" s="124">
        <v>359</v>
      </c>
      <c r="BW236" s="124">
        <v>633</v>
      </c>
      <c r="BX236" s="124">
        <v>318</v>
      </c>
      <c r="BY236" s="6"/>
      <c r="BZ236" s="6"/>
      <c r="CA236" s="2" t="s">
        <v>225</v>
      </c>
      <c r="CB236" s="127" t="s">
        <v>333</v>
      </c>
      <c r="CC236" s="98" t="s">
        <v>2</v>
      </c>
      <c r="CD236" s="36">
        <v>602.64</v>
      </c>
      <c r="CE236" s="35">
        <v>2229.1</v>
      </c>
      <c r="CF236" s="35">
        <v>1434.23</v>
      </c>
      <c r="CG236" s="35">
        <v>32901</v>
      </c>
      <c r="CH236" s="36">
        <v>9997</v>
      </c>
      <c r="CI236" s="36">
        <v>16449</v>
      </c>
      <c r="CJ236" s="36">
        <v>1104</v>
      </c>
      <c r="CK236" s="36"/>
      <c r="CL236" s="36">
        <v>1666</v>
      </c>
      <c r="CM236" s="6"/>
      <c r="CN236" s="6"/>
      <c r="CO236" s="98" t="s">
        <v>307</v>
      </c>
      <c r="CP236" s="127" t="s">
        <v>333</v>
      </c>
      <c r="CQ236" s="98" t="s">
        <v>2</v>
      </c>
      <c r="CR236" s="128">
        <v>1.1389</v>
      </c>
      <c r="CS236" s="129">
        <v>9.2999999999999992E-3</v>
      </c>
      <c r="CT236" s="129">
        <v>8.5999999999999998E-4</v>
      </c>
      <c r="CU236" s="130">
        <v>0.14562824022834508</v>
      </c>
      <c r="CV236" s="128">
        <v>0.25969999999999999</v>
      </c>
      <c r="CW236" s="128">
        <v>1.26993</v>
      </c>
      <c r="CX236" s="98">
        <v>1</v>
      </c>
    </row>
    <row r="237" spans="1:102" x14ac:dyDescent="0.3">
      <c r="K237" s="6" t="s">
        <v>80</v>
      </c>
      <c r="L237" s="2" t="s">
        <v>322</v>
      </c>
      <c r="M237" s="123" t="s">
        <v>333</v>
      </c>
      <c r="N237" s="98" t="s">
        <v>3</v>
      </c>
      <c r="O237" s="125">
        <v>6747</v>
      </c>
      <c r="P237" s="124">
        <v>5480.1000000000022</v>
      </c>
      <c r="Q237" s="124">
        <v>734.69999999999982</v>
      </c>
      <c r="R237" s="124">
        <v>532.19999999999982</v>
      </c>
      <c r="S237" s="124">
        <v>4668.7999999999993</v>
      </c>
      <c r="T237" s="124">
        <v>2060.6999999999998</v>
      </c>
      <c r="U237" s="124">
        <v>17.500000000000909</v>
      </c>
      <c r="V237" s="124">
        <v>4112.7000000000007</v>
      </c>
      <c r="W237" s="124">
        <v>769.19999999999982</v>
      </c>
      <c r="X237" s="124">
        <v>1865.1000000000004</v>
      </c>
      <c r="Z237" s="2" t="s">
        <v>326</v>
      </c>
      <c r="AA237" s="123" t="s">
        <v>333</v>
      </c>
      <c r="AB237" s="98" t="s">
        <v>3</v>
      </c>
      <c r="AC237" s="125">
        <v>5430.6</v>
      </c>
      <c r="AD237" s="124">
        <v>2416.6</v>
      </c>
      <c r="AE237" s="124">
        <v>3014</v>
      </c>
      <c r="AF237" s="124">
        <v>1990.3999999999999</v>
      </c>
      <c r="AG237" s="124">
        <v>2965.9</v>
      </c>
      <c r="AH237" s="126">
        <v>474.29999999999995</v>
      </c>
      <c r="AK237" s="2" t="s">
        <v>129</v>
      </c>
      <c r="AL237" s="123" t="s">
        <v>333</v>
      </c>
      <c r="AM237" s="98" t="s">
        <v>3</v>
      </c>
      <c r="AN237" s="125">
        <v>1458</v>
      </c>
      <c r="AO237" s="124">
        <v>881</v>
      </c>
      <c r="AP237" s="124">
        <v>457</v>
      </c>
      <c r="AQ237" s="124">
        <v>120</v>
      </c>
      <c r="AR237" s="124"/>
      <c r="AS237" s="124"/>
      <c r="AT237" s="124">
        <v>805</v>
      </c>
      <c r="AU237" s="124">
        <v>489</v>
      </c>
      <c r="AV237" s="124">
        <v>164</v>
      </c>
      <c r="AW237" s="124">
        <v>624</v>
      </c>
      <c r="AX237" s="124">
        <v>834</v>
      </c>
      <c r="AY237" s="124"/>
      <c r="AZ237" s="6"/>
      <c r="BA237" s="2"/>
      <c r="BB237" s="2"/>
      <c r="BC237" s="127" t="s">
        <v>333</v>
      </c>
      <c r="BD237" s="98" t="s">
        <v>3</v>
      </c>
      <c r="BE237" s="36">
        <v>843.16099999999994</v>
      </c>
      <c r="BF237" s="35">
        <v>843.16099999999994</v>
      </c>
      <c r="BG237" s="124"/>
      <c r="BH237" s="124"/>
      <c r="BI237" s="113">
        <v>0.14039422698938619</v>
      </c>
      <c r="BJ237" s="6"/>
      <c r="BK237" s="2" t="s">
        <v>163</v>
      </c>
      <c r="BL237" s="123" t="s">
        <v>333</v>
      </c>
      <c r="BM237" s="98" t="s">
        <v>3</v>
      </c>
      <c r="BN237" s="125">
        <v>1339</v>
      </c>
      <c r="BO237" s="124">
        <v>609</v>
      </c>
      <c r="BP237" s="124">
        <v>489</v>
      </c>
      <c r="BQ237" s="124">
        <v>241</v>
      </c>
      <c r="BR237" s="124">
        <v>0</v>
      </c>
      <c r="BS237" s="124">
        <v>687</v>
      </c>
      <c r="BT237" s="124">
        <v>73</v>
      </c>
      <c r="BU237" s="124">
        <v>579</v>
      </c>
      <c r="BV237" s="124">
        <v>364</v>
      </c>
      <c r="BW237" s="124">
        <v>645</v>
      </c>
      <c r="BX237" s="124">
        <v>330</v>
      </c>
      <c r="BY237" s="6"/>
      <c r="BZ237" s="6"/>
      <c r="CA237" s="2" t="s">
        <v>226</v>
      </c>
      <c r="CB237" s="127" t="s">
        <v>333</v>
      </c>
      <c r="CC237" s="98" t="s">
        <v>3</v>
      </c>
      <c r="CD237" s="36">
        <v>586.54</v>
      </c>
      <c r="CE237" s="35">
        <v>2133.9</v>
      </c>
      <c r="CF237" s="35">
        <v>1403.7</v>
      </c>
      <c r="CG237" s="35">
        <v>34007</v>
      </c>
      <c r="CH237" s="36">
        <v>9507</v>
      </c>
      <c r="CI237" s="36">
        <v>17188</v>
      </c>
      <c r="CJ237" s="36">
        <v>1134</v>
      </c>
      <c r="CK237" s="36"/>
      <c r="CL237" s="36">
        <v>1806.5</v>
      </c>
      <c r="CM237" s="6"/>
      <c r="CN237" s="6"/>
      <c r="CO237" s="105" t="s">
        <v>330</v>
      </c>
      <c r="CP237" s="127" t="s">
        <v>333</v>
      </c>
      <c r="CQ237" s="98" t="s">
        <v>3</v>
      </c>
      <c r="CR237" s="128">
        <v>1.0980000000000001</v>
      </c>
      <c r="CS237" s="129">
        <v>9.2999999999999992E-3</v>
      </c>
      <c r="CT237" s="129">
        <v>8.3000000000000001E-4</v>
      </c>
      <c r="CU237" s="130">
        <v>0.14039422698938619</v>
      </c>
      <c r="CV237" s="128">
        <v>0.24060000000000001</v>
      </c>
      <c r="CW237" s="128">
        <v>1.22899</v>
      </c>
      <c r="CX237" s="98">
        <v>1</v>
      </c>
    </row>
    <row r="238" spans="1:102" x14ac:dyDescent="0.3">
      <c r="K238" s="6" t="s">
        <v>82</v>
      </c>
      <c r="L238" s="2" t="s">
        <v>60</v>
      </c>
      <c r="M238" s="123" t="s">
        <v>333</v>
      </c>
      <c r="N238" s="98" t="s">
        <v>4</v>
      </c>
      <c r="O238" s="125">
        <v>7097.1</v>
      </c>
      <c r="P238" s="124">
        <v>5780.7</v>
      </c>
      <c r="Q238" s="124">
        <v>792</v>
      </c>
      <c r="R238" s="124">
        <v>524.4</v>
      </c>
      <c r="S238" s="124">
        <v>5010.8999999999996</v>
      </c>
      <c r="T238" s="124">
        <v>1571.1</v>
      </c>
      <c r="U238" s="124">
        <v>515.10000000000036</v>
      </c>
      <c r="V238" s="124">
        <v>4260.8999999999996</v>
      </c>
      <c r="W238" s="124">
        <v>1281.4000000000001</v>
      </c>
      <c r="X238" s="124">
        <v>1554.8</v>
      </c>
      <c r="Z238" s="2"/>
      <c r="AA238" s="123" t="s">
        <v>333</v>
      </c>
      <c r="AB238" s="98" t="s">
        <v>4</v>
      </c>
      <c r="AC238" s="125">
        <v>5349</v>
      </c>
      <c r="AD238" s="124">
        <v>2364</v>
      </c>
      <c r="AE238" s="124">
        <v>2985</v>
      </c>
      <c r="AF238" s="124">
        <v>1998.8000000000002</v>
      </c>
      <c r="AG238" s="124">
        <v>2884.7999999999993</v>
      </c>
      <c r="AH238" s="126">
        <v>464.90000000000009</v>
      </c>
      <c r="AK238" s="2" t="s">
        <v>116</v>
      </c>
      <c r="AL238" s="123" t="s">
        <v>333</v>
      </c>
      <c r="AM238" s="98" t="s">
        <v>4</v>
      </c>
      <c r="AN238" s="125">
        <v>1479</v>
      </c>
      <c r="AO238" s="124">
        <v>872</v>
      </c>
      <c r="AP238" s="124">
        <v>462</v>
      </c>
      <c r="AQ238" s="124">
        <v>145</v>
      </c>
      <c r="AR238" s="124"/>
      <c r="AS238" s="124"/>
      <c r="AT238" s="124">
        <v>792</v>
      </c>
      <c r="AU238" s="124">
        <v>518</v>
      </c>
      <c r="AV238" s="124">
        <v>169</v>
      </c>
      <c r="AW238" s="124">
        <v>627</v>
      </c>
      <c r="AX238" s="124">
        <v>852</v>
      </c>
      <c r="AY238" s="124"/>
      <c r="AZ238" s="6"/>
      <c r="BA238" s="2"/>
      <c r="BB238" s="2"/>
      <c r="BC238" s="127" t="s">
        <v>333</v>
      </c>
      <c r="BD238" s="98" t="s">
        <v>4</v>
      </c>
      <c r="BE238" s="36">
        <v>1049.8689999999999</v>
      </c>
      <c r="BF238" s="35">
        <v>1034.5250000000001</v>
      </c>
      <c r="BG238" s="124">
        <v>15.343999999999999</v>
      </c>
      <c r="BH238" s="124"/>
      <c r="BI238" s="113">
        <v>0.14356471179384109</v>
      </c>
      <c r="BJ238" s="6"/>
      <c r="BK238" s="2" t="s">
        <v>130</v>
      </c>
      <c r="BL238" s="123" t="s">
        <v>333</v>
      </c>
      <c r="BM238" s="98" t="s">
        <v>4</v>
      </c>
      <c r="BN238" s="125">
        <v>1694</v>
      </c>
      <c r="BO238" s="124">
        <v>732</v>
      </c>
      <c r="BP238" s="124">
        <v>665</v>
      </c>
      <c r="BQ238" s="124">
        <v>297</v>
      </c>
      <c r="BR238" s="124">
        <v>0</v>
      </c>
      <c r="BS238" s="124">
        <v>929</v>
      </c>
      <c r="BT238" s="124">
        <v>63</v>
      </c>
      <c r="BU238" s="124">
        <v>702</v>
      </c>
      <c r="BV238" s="124">
        <v>490</v>
      </c>
      <c r="BW238" s="124">
        <v>770</v>
      </c>
      <c r="BX238" s="124">
        <v>434</v>
      </c>
      <c r="BY238" s="6"/>
      <c r="BZ238" s="6"/>
      <c r="CA238" s="2" t="s">
        <v>227</v>
      </c>
      <c r="CB238" s="127" t="s">
        <v>333</v>
      </c>
      <c r="CC238" s="98" t="s">
        <v>4</v>
      </c>
      <c r="CD238" s="36">
        <v>694.03</v>
      </c>
      <c r="CE238" s="35">
        <v>2056.4</v>
      </c>
      <c r="CF238" s="35">
        <v>1440.22</v>
      </c>
      <c r="CG238" s="35">
        <v>32588</v>
      </c>
      <c r="CH238" s="36">
        <v>9068</v>
      </c>
      <c r="CI238" s="36">
        <v>20640</v>
      </c>
      <c r="CJ238" s="36">
        <v>1017</v>
      </c>
      <c r="CK238" s="36"/>
      <c r="CL238" s="36">
        <v>1806.5</v>
      </c>
      <c r="CM238" s="6"/>
      <c r="CN238" s="6"/>
      <c r="CO238" s="74"/>
      <c r="CP238" s="127" t="s">
        <v>333</v>
      </c>
      <c r="CQ238" s="98" t="s">
        <v>4</v>
      </c>
      <c r="CR238" s="128">
        <v>1.1160000000000001</v>
      </c>
      <c r="CS238" s="129">
        <v>9.1000000000000004E-3</v>
      </c>
      <c r="CT238" s="129">
        <v>8.5999999999999998E-4</v>
      </c>
      <c r="CU238" s="130">
        <v>0.14356471179384109</v>
      </c>
      <c r="CV238" s="128">
        <v>0.24879999999999999</v>
      </c>
      <c r="CW238" s="128">
        <v>1.30911</v>
      </c>
      <c r="CX238" s="98">
        <v>1</v>
      </c>
    </row>
    <row r="239" spans="1:102" x14ac:dyDescent="0.3">
      <c r="K239" s="6" t="s">
        <v>82</v>
      </c>
      <c r="L239" s="2" t="s">
        <v>62</v>
      </c>
      <c r="M239" s="131" t="s">
        <v>334</v>
      </c>
      <c r="N239" s="98" t="s">
        <v>1</v>
      </c>
      <c r="O239" s="125">
        <v>5995.7</v>
      </c>
      <c r="P239" s="124">
        <v>4766</v>
      </c>
      <c r="Q239" s="124">
        <v>689.8</v>
      </c>
      <c r="R239" s="124">
        <v>539.9</v>
      </c>
      <c r="S239" s="124">
        <v>4330</v>
      </c>
      <c r="T239" s="124">
        <v>1134.5999999999999</v>
      </c>
      <c r="U239" s="124">
        <v>531.09999999999945</v>
      </c>
      <c r="V239" s="124">
        <v>3530.9</v>
      </c>
      <c r="W239" s="124">
        <v>968.7</v>
      </c>
      <c r="X239" s="124">
        <v>1496.1</v>
      </c>
      <c r="Z239" s="2"/>
      <c r="AA239" s="131" t="s">
        <v>334</v>
      </c>
      <c r="AB239" s="98" t="s">
        <v>1</v>
      </c>
      <c r="AC239" s="125">
        <v>4714.3999999999996</v>
      </c>
      <c r="AD239" s="124">
        <v>2025.8</v>
      </c>
      <c r="AE239" s="124">
        <v>2608</v>
      </c>
      <c r="AF239" s="124">
        <v>1829.9</v>
      </c>
      <c r="AG239" s="124">
        <v>2379.3000000000002</v>
      </c>
      <c r="AH239" s="126">
        <v>424.6</v>
      </c>
      <c r="AK239" s="2" t="s">
        <v>130</v>
      </c>
      <c r="AL239" s="131" t="s">
        <v>334</v>
      </c>
      <c r="AM239" s="98" t="s">
        <v>1</v>
      </c>
      <c r="AN239" s="125">
        <v>1225</v>
      </c>
      <c r="AO239" s="124">
        <v>699</v>
      </c>
      <c r="AP239" s="124">
        <v>388</v>
      </c>
      <c r="AQ239" s="124">
        <v>138</v>
      </c>
      <c r="AR239" s="124"/>
      <c r="AS239" s="124"/>
      <c r="AT239" s="124">
        <v>632</v>
      </c>
      <c r="AU239" s="124">
        <v>450</v>
      </c>
      <c r="AV239" s="124">
        <v>143</v>
      </c>
      <c r="AW239" s="124">
        <v>503</v>
      </c>
      <c r="AX239" s="124">
        <v>525</v>
      </c>
      <c r="AY239" s="124">
        <v>197</v>
      </c>
      <c r="AZ239" s="6"/>
      <c r="BA239" s="2"/>
      <c r="BB239" s="2"/>
      <c r="BC239" s="132" t="s">
        <v>334</v>
      </c>
      <c r="BD239" s="98" t="s">
        <v>1</v>
      </c>
      <c r="BE239" s="36">
        <v>772.25850000000003</v>
      </c>
      <c r="BF239" s="35">
        <v>724.07899999999995</v>
      </c>
      <c r="BG239" s="124">
        <v>48.179499999999997</v>
      </c>
      <c r="BH239" s="124"/>
      <c r="BI239" s="113">
        <v>0.14099798372883268</v>
      </c>
      <c r="BJ239" s="6"/>
      <c r="BK239" s="2" t="s">
        <v>131</v>
      </c>
      <c r="BL239" s="131" t="s">
        <v>334</v>
      </c>
      <c r="BM239" s="98" t="s">
        <v>1</v>
      </c>
      <c r="BN239" s="125">
        <v>1263</v>
      </c>
      <c r="BO239" s="124">
        <v>566</v>
      </c>
      <c r="BP239" s="124">
        <v>453</v>
      </c>
      <c r="BQ239" s="124">
        <v>235</v>
      </c>
      <c r="BR239" s="124">
        <v>9</v>
      </c>
      <c r="BS239" s="124">
        <v>655</v>
      </c>
      <c r="BT239" s="124">
        <v>57</v>
      </c>
      <c r="BU239" s="124">
        <v>551</v>
      </c>
      <c r="BV239" s="124">
        <v>355</v>
      </c>
      <c r="BW239" s="124">
        <v>596</v>
      </c>
      <c r="BX239" s="124">
        <v>312</v>
      </c>
      <c r="BY239" s="6"/>
      <c r="BZ239" s="6"/>
      <c r="CA239" s="2" t="s">
        <v>328</v>
      </c>
      <c r="CB239" s="132" t="s">
        <v>334</v>
      </c>
      <c r="CC239" s="98" t="s">
        <v>1</v>
      </c>
      <c r="CD239" s="36">
        <v>615.11</v>
      </c>
      <c r="CE239" s="35">
        <v>2346.5</v>
      </c>
      <c r="CF239" s="35">
        <v>1410.77</v>
      </c>
      <c r="CG239" s="35">
        <v>31697</v>
      </c>
      <c r="CH239" s="36">
        <v>8601</v>
      </c>
      <c r="CI239" s="36">
        <v>13881</v>
      </c>
      <c r="CJ239" s="36">
        <v>1062</v>
      </c>
      <c r="CK239" s="36">
        <v>66.385439999999988</v>
      </c>
      <c r="CL239" s="36">
        <v>1618</v>
      </c>
      <c r="CM239" s="6"/>
      <c r="CN239" s="6"/>
      <c r="CO239" s="74"/>
      <c r="CP239" s="132" t="s">
        <v>334</v>
      </c>
      <c r="CQ239" s="98" t="s">
        <v>1</v>
      </c>
      <c r="CR239" s="128">
        <v>1.0805</v>
      </c>
      <c r="CS239" s="129">
        <v>9.2999999999999992E-3</v>
      </c>
      <c r="CT239" s="129">
        <v>8.1999999999999998E-4</v>
      </c>
      <c r="CU239" s="130">
        <v>0.14099798372883268</v>
      </c>
      <c r="CV239" s="128">
        <v>0.192</v>
      </c>
      <c r="CW239" s="128">
        <v>1.24516</v>
      </c>
      <c r="CX239" s="98">
        <v>1</v>
      </c>
    </row>
    <row r="240" spans="1:102" x14ac:dyDescent="0.3">
      <c r="K240" s="6" t="s">
        <v>82</v>
      </c>
      <c r="L240" s="2" t="s">
        <v>323</v>
      </c>
      <c r="M240" s="131" t="s">
        <v>334</v>
      </c>
      <c r="N240" s="98" t="s">
        <v>2</v>
      </c>
      <c r="O240" s="125">
        <v>4222.1000000000004</v>
      </c>
      <c r="P240" s="124">
        <v>3444.4</v>
      </c>
      <c r="Q240" s="124">
        <v>300.5</v>
      </c>
      <c r="R240" s="124">
        <v>477.2</v>
      </c>
      <c r="S240" s="124">
        <v>2805.5</v>
      </c>
      <c r="T240" s="124">
        <v>949.6</v>
      </c>
      <c r="U240" s="124">
        <v>467.00000000000045</v>
      </c>
      <c r="V240" s="124">
        <v>2628.8</v>
      </c>
      <c r="W240" s="124">
        <v>629.20000000000005</v>
      </c>
      <c r="X240" s="124">
        <v>964.1</v>
      </c>
      <c r="Z240" s="2"/>
      <c r="AA240" s="131" t="s">
        <v>334</v>
      </c>
      <c r="AB240" s="98" t="s">
        <v>2</v>
      </c>
      <c r="AC240" s="125">
        <v>3761.5</v>
      </c>
      <c r="AD240" s="124">
        <v>1593.7</v>
      </c>
      <c r="AE240" s="124">
        <v>2088</v>
      </c>
      <c r="AF240" s="124">
        <v>1717</v>
      </c>
      <c r="AG240" s="124">
        <v>1589.3</v>
      </c>
      <c r="AH240" s="126">
        <v>375.4</v>
      </c>
      <c r="AK240" s="2" t="s">
        <v>131</v>
      </c>
      <c r="AL240" s="131" t="s">
        <v>334</v>
      </c>
      <c r="AM240" s="98" t="s">
        <v>2</v>
      </c>
      <c r="AN240" s="125">
        <v>1048</v>
      </c>
      <c r="AO240" s="124">
        <v>567</v>
      </c>
      <c r="AP240" s="124">
        <v>347</v>
      </c>
      <c r="AQ240" s="124">
        <v>134</v>
      </c>
      <c r="AR240" s="124"/>
      <c r="AS240" s="124"/>
      <c r="AT240" s="124">
        <v>514</v>
      </c>
      <c r="AU240" s="124">
        <v>443</v>
      </c>
      <c r="AV240" s="124">
        <v>91</v>
      </c>
      <c r="AW240" s="124">
        <v>406</v>
      </c>
      <c r="AX240" s="124">
        <v>450</v>
      </c>
      <c r="AY240" s="124">
        <v>192</v>
      </c>
      <c r="AZ240" s="6"/>
      <c r="BA240" s="2"/>
      <c r="BB240" s="2"/>
      <c r="BC240" s="132" t="s">
        <v>334</v>
      </c>
      <c r="BD240" s="98" t="s">
        <v>2</v>
      </c>
      <c r="BE240" s="36">
        <v>772.25850000000003</v>
      </c>
      <c r="BF240" s="35">
        <v>724.07899999999995</v>
      </c>
      <c r="BG240" s="124">
        <v>48.179499999999997</v>
      </c>
      <c r="BH240" s="124"/>
      <c r="BI240" s="113">
        <v>0.14151477414242047</v>
      </c>
      <c r="BJ240" s="6"/>
      <c r="BK240" s="2" t="s">
        <v>132</v>
      </c>
      <c r="BL240" s="131" t="s">
        <v>334</v>
      </c>
      <c r="BM240" s="98" t="s">
        <v>2</v>
      </c>
      <c r="BN240" s="125">
        <v>1198</v>
      </c>
      <c r="BO240" s="124">
        <v>409</v>
      </c>
      <c r="BP240" s="124">
        <v>449</v>
      </c>
      <c r="BQ240" s="124">
        <v>235</v>
      </c>
      <c r="BR240" s="124">
        <v>105</v>
      </c>
      <c r="BS240" s="124">
        <v>765</v>
      </c>
      <c r="BT240" s="124">
        <v>59</v>
      </c>
      <c r="BU240" s="124">
        <v>374</v>
      </c>
      <c r="BV240" s="124">
        <v>403</v>
      </c>
      <c r="BW240" s="124">
        <v>525</v>
      </c>
      <c r="BX240" s="124">
        <v>270</v>
      </c>
      <c r="BY240" s="6"/>
      <c r="BZ240" s="6"/>
      <c r="CA240" s="2" t="s">
        <v>326</v>
      </c>
      <c r="CB240" s="132" t="s">
        <v>334</v>
      </c>
      <c r="CC240" s="98" t="s">
        <v>2</v>
      </c>
      <c r="CD240" s="36">
        <v>295.85000000000002</v>
      </c>
      <c r="CE240" s="35">
        <v>1270.0999999999999</v>
      </c>
      <c r="CF240" s="35">
        <v>1364.74</v>
      </c>
      <c r="CG240" s="35">
        <v>18902</v>
      </c>
      <c r="CH240" s="36">
        <v>7150</v>
      </c>
      <c r="CI240" s="36">
        <v>15945</v>
      </c>
      <c r="CJ240" s="36">
        <v>1094</v>
      </c>
      <c r="CK240" s="36">
        <v>84.490560000000031</v>
      </c>
      <c r="CL240" s="36">
        <v>1618</v>
      </c>
      <c r="CM240" s="6"/>
      <c r="CN240" s="6"/>
      <c r="CO240" s="74"/>
      <c r="CP240" s="132" t="s">
        <v>334</v>
      </c>
      <c r="CQ240" s="98" t="s">
        <v>2</v>
      </c>
      <c r="CR240" s="128">
        <v>1.1245000000000001</v>
      </c>
      <c r="CS240" s="129">
        <v>9.2999999999999992E-3</v>
      </c>
      <c r="CT240" s="129">
        <v>8.0000000000000004E-4</v>
      </c>
      <c r="CU240" s="130">
        <v>0.14151477414242047</v>
      </c>
      <c r="CV240" s="128">
        <v>0.183</v>
      </c>
      <c r="CW240" s="128">
        <v>1.2341800000000001</v>
      </c>
      <c r="CX240" s="98">
        <v>1</v>
      </c>
    </row>
    <row r="241" spans="1:102" x14ac:dyDescent="0.3">
      <c r="M241" s="131" t="s">
        <v>334</v>
      </c>
      <c r="N241" s="98" t="s">
        <v>3</v>
      </c>
      <c r="O241" s="125">
        <v>6203.1</v>
      </c>
      <c r="P241" s="124">
        <v>5173.4999999999982</v>
      </c>
      <c r="Q241" s="124">
        <v>544.79999999999995</v>
      </c>
      <c r="R241" s="124">
        <v>484.79999999999995</v>
      </c>
      <c r="S241" s="124">
        <v>4149.8000000000011</v>
      </c>
      <c r="T241" s="124">
        <v>1575.3000000000006</v>
      </c>
      <c r="U241" s="124">
        <v>477.99999999999818</v>
      </c>
      <c r="V241" s="124">
        <v>3916.9000000000015</v>
      </c>
      <c r="W241" s="124">
        <v>919.89999999999964</v>
      </c>
      <c r="X241" s="124">
        <v>1366.3000000000006</v>
      </c>
      <c r="AA241" s="131" t="s">
        <v>334</v>
      </c>
      <c r="AB241" s="98" t="s">
        <v>3</v>
      </c>
      <c r="AC241" s="125">
        <v>5418.1</v>
      </c>
      <c r="AD241" s="124">
        <v>2286.4</v>
      </c>
      <c r="AE241" s="124">
        <v>3044.8</v>
      </c>
      <c r="AF241" s="124">
        <v>2051.5</v>
      </c>
      <c r="AG241" s="124">
        <v>2817.3</v>
      </c>
      <c r="AH241" s="126">
        <v>462.4</v>
      </c>
      <c r="AK241" s="2" t="s">
        <v>132</v>
      </c>
      <c r="AL241" s="131" t="s">
        <v>334</v>
      </c>
      <c r="AM241" s="98" t="s">
        <v>3</v>
      </c>
      <c r="AN241" s="125">
        <v>1337</v>
      </c>
      <c r="AO241" s="124">
        <v>762</v>
      </c>
      <c r="AP241" s="124">
        <v>433</v>
      </c>
      <c r="AQ241" s="124">
        <v>142</v>
      </c>
      <c r="AR241" s="124"/>
      <c r="AS241" s="124"/>
      <c r="AT241" s="124">
        <v>691</v>
      </c>
      <c r="AU241" s="124">
        <v>499</v>
      </c>
      <c r="AV241" s="124">
        <v>147</v>
      </c>
      <c r="AW241" s="124">
        <v>541</v>
      </c>
      <c r="AX241" s="124">
        <v>577</v>
      </c>
      <c r="AY241" s="124">
        <v>219</v>
      </c>
      <c r="AZ241" s="6"/>
      <c r="BA241" s="2"/>
      <c r="BB241" s="2"/>
      <c r="BC241" s="132" t="s">
        <v>334</v>
      </c>
      <c r="BD241" s="98" t="s">
        <v>3</v>
      </c>
      <c r="BE241" s="36">
        <v>1143.0229999999999</v>
      </c>
      <c r="BF241" s="35">
        <v>1051.5709999999999</v>
      </c>
      <c r="BG241" s="124">
        <v>91.451999999999998</v>
      </c>
      <c r="BH241" s="124"/>
      <c r="BI241" s="113">
        <v>0.14725588655406502</v>
      </c>
      <c r="BJ241" s="6"/>
      <c r="BK241" s="2" t="s">
        <v>133</v>
      </c>
      <c r="BL241" s="131" t="s">
        <v>334</v>
      </c>
      <c r="BM241" s="98" t="s">
        <v>3</v>
      </c>
      <c r="BN241" s="125">
        <v>1448</v>
      </c>
      <c r="BO241" s="124">
        <v>586</v>
      </c>
      <c r="BP241" s="124">
        <v>501</v>
      </c>
      <c r="BQ241" s="124">
        <v>243</v>
      </c>
      <c r="BR241" s="124">
        <v>118</v>
      </c>
      <c r="BS241" s="124">
        <v>821</v>
      </c>
      <c r="BT241" s="124">
        <v>71</v>
      </c>
      <c r="BU241" s="124">
        <v>556</v>
      </c>
      <c r="BV241" s="124">
        <v>486</v>
      </c>
      <c r="BW241" s="124">
        <v>639</v>
      </c>
      <c r="BX241" s="124">
        <v>323</v>
      </c>
      <c r="BY241" s="6"/>
      <c r="BZ241" s="6"/>
      <c r="CA241" s="2"/>
      <c r="CB241" s="132" t="s">
        <v>334</v>
      </c>
      <c r="CC241" s="98" t="s">
        <v>3</v>
      </c>
      <c r="CD241" s="36">
        <v>517.72</v>
      </c>
      <c r="CE241" s="35">
        <v>1527.4</v>
      </c>
      <c r="CF241" s="35">
        <v>1601.41</v>
      </c>
      <c r="CG241" s="35">
        <v>25376</v>
      </c>
      <c r="CH241" s="36">
        <v>8652</v>
      </c>
      <c r="CI241" s="36">
        <v>18091</v>
      </c>
      <c r="CJ241" s="36">
        <v>1246</v>
      </c>
      <c r="CK241" s="36">
        <v>86.658000000000001</v>
      </c>
      <c r="CL241" s="36">
        <v>1707.5</v>
      </c>
      <c r="CM241" s="6"/>
      <c r="CN241" s="6"/>
      <c r="CO241" s="74"/>
      <c r="CP241" s="132" t="s">
        <v>334</v>
      </c>
      <c r="CQ241" s="98" t="s">
        <v>3</v>
      </c>
      <c r="CR241" s="128">
        <v>1.1717</v>
      </c>
      <c r="CS241" s="129">
        <v>9.4999999999999998E-3</v>
      </c>
      <c r="CT241" s="129">
        <v>8.4999999999999995E-4</v>
      </c>
      <c r="CU241" s="130">
        <v>0.14725588655406502</v>
      </c>
      <c r="CV241" s="128">
        <v>0.1782</v>
      </c>
      <c r="CW241" s="128">
        <v>1.28738</v>
      </c>
      <c r="CX241" s="98">
        <v>1</v>
      </c>
    </row>
    <row r="242" spans="1:102" x14ac:dyDescent="0.3">
      <c r="M242" s="131" t="s">
        <v>334</v>
      </c>
      <c r="N242" s="98" t="s">
        <v>4</v>
      </c>
      <c r="O242" s="125">
        <v>6749.4</v>
      </c>
      <c r="P242" s="124">
        <v>5726.5</v>
      </c>
      <c r="Q242" s="124">
        <v>613.79999999999995</v>
      </c>
      <c r="R242" s="124">
        <v>409.1</v>
      </c>
      <c r="S242" s="124">
        <v>4675.6000000000004</v>
      </c>
      <c r="T242" s="124">
        <v>1681.9</v>
      </c>
      <c r="U242" s="124">
        <v>391.89999999999964</v>
      </c>
      <c r="V242" s="124">
        <v>4251.8999999999996</v>
      </c>
      <c r="W242" s="124">
        <v>1140.8</v>
      </c>
      <c r="X242" s="124">
        <v>1356.7</v>
      </c>
      <c r="AA242" s="131" t="s">
        <v>334</v>
      </c>
      <c r="AB242" s="98" t="s">
        <v>4</v>
      </c>
      <c r="AC242" s="125">
        <v>5313.8</v>
      </c>
      <c r="AD242" s="124">
        <v>2233.1000000000004</v>
      </c>
      <c r="AE242" s="124">
        <v>2985.2</v>
      </c>
      <c r="AF242" s="124">
        <v>2057.6000000000004</v>
      </c>
      <c r="AG242" s="124">
        <v>2676.0999999999995</v>
      </c>
      <c r="AH242" s="126">
        <v>484</v>
      </c>
      <c r="AK242" s="2" t="s">
        <v>133</v>
      </c>
      <c r="AL242" s="131" t="s">
        <v>334</v>
      </c>
      <c r="AM242" s="98" t="s">
        <v>4</v>
      </c>
      <c r="AN242" s="125">
        <v>1358</v>
      </c>
      <c r="AO242" s="124">
        <v>782</v>
      </c>
      <c r="AP242" s="124">
        <v>434</v>
      </c>
      <c r="AQ242" s="124">
        <v>142</v>
      </c>
      <c r="AR242" s="124"/>
      <c r="AS242" s="124"/>
      <c r="AT242" s="124">
        <v>709</v>
      </c>
      <c r="AU242" s="124">
        <v>497</v>
      </c>
      <c r="AV242" s="124">
        <v>152</v>
      </c>
      <c r="AW242" s="124">
        <v>563</v>
      </c>
      <c r="AX242" s="124">
        <v>569</v>
      </c>
      <c r="AY242" s="124">
        <v>226</v>
      </c>
      <c r="AZ242" s="6"/>
      <c r="BA242" s="2"/>
      <c r="BB242" s="2"/>
      <c r="BC242" s="132" t="s">
        <v>334</v>
      </c>
      <c r="BD242" s="98" t="s">
        <v>4</v>
      </c>
      <c r="BE242" s="36">
        <v>1345.8779999999999</v>
      </c>
      <c r="BF242" s="35">
        <v>1217.6199999999999</v>
      </c>
      <c r="BG242" s="124">
        <v>128.816</v>
      </c>
      <c r="BH242" s="124"/>
      <c r="BI242" s="113">
        <v>0.1530690341343946</v>
      </c>
      <c r="BJ242" s="6"/>
      <c r="BK242" s="6" t="s">
        <v>326</v>
      </c>
      <c r="BL242" s="131" t="s">
        <v>334</v>
      </c>
      <c r="BM242" s="98" t="s">
        <v>4</v>
      </c>
      <c r="BN242" s="125">
        <v>1743</v>
      </c>
      <c r="BO242" s="124">
        <v>711</v>
      </c>
      <c r="BP242" s="124">
        <v>628</v>
      </c>
      <c r="BQ242" s="124">
        <v>289</v>
      </c>
      <c r="BR242" s="124">
        <v>115</v>
      </c>
      <c r="BS242" s="124">
        <v>1001</v>
      </c>
      <c r="BT242" s="124">
        <v>68</v>
      </c>
      <c r="BU242" s="124">
        <v>674</v>
      </c>
      <c r="BV242" s="124">
        <v>566</v>
      </c>
      <c r="BW242" s="124">
        <v>750</v>
      </c>
      <c r="BX242" s="124">
        <v>427</v>
      </c>
      <c r="BY242" s="6"/>
      <c r="BZ242" s="6"/>
      <c r="CA242" s="2"/>
      <c r="CB242" s="132" t="s">
        <v>334</v>
      </c>
      <c r="CC242" s="98" t="s">
        <v>4</v>
      </c>
      <c r="CD242" s="36">
        <v>554.54999999999995</v>
      </c>
      <c r="CE242" s="35">
        <v>1656.5</v>
      </c>
      <c r="CF242" s="35">
        <v>1607.71</v>
      </c>
      <c r="CG242" s="35">
        <v>27181</v>
      </c>
      <c r="CH242" s="36">
        <v>8611</v>
      </c>
      <c r="CI242" s="36">
        <v>22455</v>
      </c>
      <c r="CJ242" s="36">
        <v>1196</v>
      </c>
      <c r="CK242" s="36">
        <v>89.896000000000001</v>
      </c>
      <c r="CL242" s="36">
        <v>1707.5</v>
      </c>
      <c r="CM242" s="6"/>
      <c r="CN242" s="6"/>
      <c r="CO242" s="74"/>
      <c r="CP242" s="132" t="s">
        <v>334</v>
      </c>
      <c r="CQ242" s="98" t="s">
        <v>4</v>
      </c>
      <c r="CR242" s="128">
        <v>1.2135</v>
      </c>
      <c r="CS242" s="129">
        <v>9.7000000000000003E-3</v>
      </c>
      <c r="CT242" s="129">
        <v>8.4000000000000003E-4</v>
      </c>
      <c r="CU242" s="130">
        <v>0.1530690341343946</v>
      </c>
      <c r="CV242" s="128">
        <v>0.1925</v>
      </c>
      <c r="CW242" s="128">
        <v>1.3465199999999999</v>
      </c>
      <c r="CX242" s="98">
        <v>1</v>
      </c>
    </row>
    <row r="243" spans="1:102" x14ac:dyDescent="0.3">
      <c r="M243" s="133" t="s">
        <v>335</v>
      </c>
      <c r="N243" s="98" t="s">
        <v>1</v>
      </c>
      <c r="O243" s="125">
        <v>6668</v>
      </c>
      <c r="P243" s="124">
        <v>5653.1</v>
      </c>
      <c r="Q243" s="124">
        <v>595</v>
      </c>
      <c r="R243" s="124">
        <v>419.9</v>
      </c>
      <c r="S243" s="124">
        <v>4664.6000000000004</v>
      </c>
      <c r="T243" s="124">
        <v>1610.9</v>
      </c>
      <c r="U243" s="124">
        <v>392.5</v>
      </c>
      <c r="V243" s="124">
        <v>4212.8</v>
      </c>
      <c r="W243" s="124">
        <v>1131.4000000000001</v>
      </c>
      <c r="X243" s="124">
        <v>1323.8</v>
      </c>
      <c r="AA243" s="133" t="s">
        <v>335</v>
      </c>
      <c r="AB243" s="98" t="s">
        <v>1</v>
      </c>
      <c r="AC243" s="125">
        <v>5124.6000000000004</v>
      </c>
      <c r="AD243" s="124">
        <v>2161.5</v>
      </c>
      <c r="AE243" s="124">
        <v>2887.4</v>
      </c>
      <c r="AF243" s="124">
        <v>2038.8</v>
      </c>
      <c r="AG243" s="124">
        <v>2524.1</v>
      </c>
      <c r="AH243" s="126">
        <v>476</v>
      </c>
      <c r="AK243" s="6" t="s">
        <v>326</v>
      </c>
      <c r="AL243" s="133" t="s">
        <v>335</v>
      </c>
      <c r="AM243" s="98" t="s">
        <v>1</v>
      </c>
      <c r="AN243" s="125">
        <v>1260</v>
      </c>
      <c r="AO243" s="124">
        <v>710</v>
      </c>
      <c r="AP243" s="124">
        <v>407</v>
      </c>
      <c r="AQ243" s="124">
        <v>143</v>
      </c>
      <c r="AR243" s="124"/>
      <c r="AS243" s="124"/>
      <c r="AT243" s="124">
        <v>638</v>
      </c>
      <c r="AU243" s="124">
        <v>478</v>
      </c>
      <c r="AV243" s="124">
        <v>144</v>
      </c>
      <c r="AW243" s="124">
        <v>507</v>
      </c>
      <c r="AX243" s="124">
        <v>548</v>
      </c>
      <c r="AY243" s="124">
        <v>205</v>
      </c>
      <c r="AZ243" s="6"/>
      <c r="BA243" s="2"/>
      <c r="BB243" s="2"/>
      <c r="BC243" s="134" t="s">
        <v>335</v>
      </c>
      <c r="BD243" s="98" t="s">
        <v>1</v>
      </c>
      <c r="BE243" s="36">
        <v>1268.703</v>
      </c>
      <c r="BF243" s="35">
        <v>1106.8320000000001</v>
      </c>
      <c r="BG243" s="124">
        <v>161.87100000000001</v>
      </c>
      <c r="BH243" s="124"/>
      <c r="BI243" s="113">
        <v>0.15226494099733537</v>
      </c>
      <c r="BJ243" s="6"/>
      <c r="BK243" s="6"/>
      <c r="BL243" s="133" t="s">
        <v>335</v>
      </c>
      <c r="BM243" s="98" t="s">
        <v>1</v>
      </c>
      <c r="BN243" s="125">
        <v>1486</v>
      </c>
      <c r="BO243" s="124">
        <v>625</v>
      </c>
      <c r="BP243" s="124">
        <v>488</v>
      </c>
      <c r="BQ243" s="124">
        <v>251</v>
      </c>
      <c r="BR243" s="124">
        <v>122</v>
      </c>
      <c r="BS243" s="124">
        <v>820</v>
      </c>
      <c r="BT243" s="124">
        <v>78</v>
      </c>
      <c r="BU243" s="124">
        <v>588</v>
      </c>
      <c r="BV243" s="124">
        <v>476</v>
      </c>
      <c r="BW243" s="124">
        <v>658</v>
      </c>
      <c r="BX243" s="124">
        <v>352</v>
      </c>
      <c r="BY243" s="6"/>
      <c r="BZ243" s="6"/>
      <c r="CA243" s="2"/>
      <c r="CB243" s="134" t="s">
        <v>335</v>
      </c>
      <c r="CC243" s="98" t="s">
        <v>1</v>
      </c>
      <c r="CD243" s="36">
        <v>627.41999999999996</v>
      </c>
      <c r="CE243" s="35">
        <v>1733</v>
      </c>
      <c r="CF243" s="35">
        <v>1741.58</v>
      </c>
      <c r="CG243" s="35">
        <v>24682</v>
      </c>
      <c r="CH243" s="36">
        <v>9020</v>
      </c>
      <c r="CI243" s="36">
        <v>14820</v>
      </c>
      <c r="CJ243" s="36">
        <v>1244</v>
      </c>
      <c r="CK243" s="36">
        <v>98.784999999999997</v>
      </c>
      <c r="CL243" s="36">
        <v>1627</v>
      </c>
      <c r="CM243" s="6"/>
      <c r="CN243" s="6"/>
      <c r="CO243" s="74"/>
      <c r="CP243" s="134" t="s">
        <v>335</v>
      </c>
      <c r="CQ243" s="98" t="s">
        <v>1</v>
      </c>
      <c r="CR243" s="128">
        <v>1.1758999999999999</v>
      </c>
      <c r="CS243" s="129">
        <v>9.1000000000000004E-3</v>
      </c>
      <c r="CT243" s="129">
        <v>8.8000000000000003E-4</v>
      </c>
      <c r="CU243" s="130">
        <v>0.15226494099733537</v>
      </c>
      <c r="CV243" s="128">
        <v>0.17749999999999999</v>
      </c>
      <c r="CW243" s="128">
        <v>1.3775599999999999</v>
      </c>
      <c r="CX243" s="98">
        <v>1</v>
      </c>
    </row>
    <row r="244" spans="1:102" s="4" customFormat="1" x14ac:dyDescent="0.25">
      <c r="A244" s="6"/>
      <c r="B244" s="6"/>
      <c r="C244" s="6"/>
      <c r="D244" s="6"/>
      <c r="E244" s="6"/>
      <c r="F244" s="6"/>
      <c r="G244" s="6"/>
      <c r="H244" s="6"/>
      <c r="I244" s="6"/>
      <c r="J244" s="6"/>
      <c r="K244" s="6"/>
      <c r="L244" s="6"/>
      <c r="M244" s="133" t="s">
        <v>335</v>
      </c>
      <c r="N244" s="98" t="s">
        <v>2</v>
      </c>
      <c r="O244" s="125">
        <v>7496.5</v>
      </c>
      <c r="P244" s="124">
        <v>6363.1</v>
      </c>
      <c r="Q244" s="124">
        <v>680.2</v>
      </c>
      <c r="R244" s="124">
        <v>453.2</v>
      </c>
      <c r="S244" s="124">
        <v>5400.3</v>
      </c>
      <c r="T244" s="124">
        <v>1658.4</v>
      </c>
      <c r="U244" s="124">
        <v>437.79999999999927</v>
      </c>
      <c r="V244" s="124">
        <v>4753.1000000000004</v>
      </c>
      <c r="W244" s="124">
        <v>1311.2</v>
      </c>
      <c r="X244" s="124">
        <v>1432.2</v>
      </c>
      <c r="Y244" s="6"/>
      <c r="Z244" s="6"/>
      <c r="AA244" s="133" t="s">
        <v>335</v>
      </c>
      <c r="AB244" s="98" t="s">
        <v>2</v>
      </c>
      <c r="AC244" s="125">
        <v>5887.9</v>
      </c>
      <c r="AD244" s="124">
        <v>2488.6999999999998</v>
      </c>
      <c r="AE244" s="124">
        <v>3306.2</v>
      </c>
      <c r="AF244" s="124">
        <v>2235.9</v>
      </c>
      <c r="AG244" s="124">
        <v>3045.8</v>
      </c>
      <c r="AH244" s="126">
        <v>513.20000000000005</v>
      </c>
      <c r="AI244" s="6"/>
      <c r="AJ244" s="6"/>
      <c r="AK244" s="6"/>
      <c r="AL244" s="133" t="s">
        <v>335</v>
      </c>
      <c r="AM244" s="98" t="s">
        <v>2</v>
      </c>
      <c r="AN244" s="125">
        <v>1438</v>
      </c>
      <c r="AO244" s="124">
        <v>831</v>
      </c>
      <c r="AP244" s="124">
        <v>459</v>
      </c>
      <c r="AQ244" s="124">
        <v>148</v>
      </c>
      <c r="AR244" s="124"/>
      <c r="AS244" s="124"/>
      <c r="AT244" s="124">
        <v>754</v>
      </c>
      <c r="AU244" s="124">
        <v>515</v>
      </c>
      <c r="AV244" s="124">
        <v>169</v>
      </c>
      <c r="AW244" s="124">
        <v>590</v>
      </c>
      <c r="AX244" s="124">
        <v>612</v>
      </c>
      <c r="AY244" s="124">
        <v>236</v>
      </c>
      <c r="AZ244" s="6"/>
      <c r="BA244" s="2"/>
      <c r="BB244" s="2"/>
      <c r="BC244" s="134" t="s">
        <v>335</v>
      </c>
      <c r="BD244" s="98" t="s">
        <v>2</v>
      </c>
      <c r="BE244" s="36">
        <v>1913.748</v>
      </c>
      <c r="BF244" s="35">
        <v>1634.472</v>
      </c>
      <c r="BG244" s="124">
        <v>279.27600000000001</v>
      </c>
      <c r="BH244" s="124"/>
      <c r="BI244" s="113">
        <v>0.15448787270199291</v>
      </c>
      <c r="BJ244" s="6"/>
      <c r="BK244" s="6"/>
      <c r="BL244" s="133" t="s">
        <v>335</v>
      </c>
      <c r="BM244" s="98" t="s">
        <v>2</v>
      </c>
      <c r="BN244" s="125">
        <v>1602</v>
      </c>
      <c r="BO244" s="124">
        <v>682</v>
      </c>
      <c r="BP244" s="124">
        <v>532</v>
      </c>
      <c r="BQ244" s="124">
        <v>249</v>
      </c>
      <c r="BR244" s="124">
        <v>139</v>
      </c>
      <c r="BS244" s="124">
        <v>882</v>
      </c>
      <c r="BT244" s="124">
        <v>74</v>
      </c>
      <c r="BU244" s="124">
        <v>646</v>
      </c>
      <c r="BV244" s="124">
        <v>520</v>
      </c>
      <c r="BW244" s="124">
        <v>706</v>
      </c>
      <c r="BX244" s="124">
        <v>376</v>
      </c>
      <c r="BY244" s="6"/>
      <c r="BZ244" s="6"/>
      <c r="CA244" s="2"/>
      <c r="CB244" s="134" t="s">
        <v>335</v>
      </c>
      <c r="CC244" s="98" t="s">
        <v>2</v>
      </c>
      <c r="CD244" s="36">
        <v>768.94999999999993</v>
      </c>
      <c r="CE244" s="35">
        <v>2279.1999999999998</v>
      </c>
      <c r="CF244" s="35">
        <v>1892.54</v>
      </c>
      <c r="CG244" s="35">
        <v>26541</v>
      </c>
      <c r="CH244" s="36">
        <v>10129</v>
      </c>
      <c r="CI244" s="36">
        <v>19217</v>
      </c>
      <c r="CJ244" s="36">
        <v>1462</v>
      </c>
      <c r="CK244" s="36">
        <v>129.208</v>
      </c>
      <c r="CL244" s="36">
        <v>1627</v>
      </c>
      <c r="CM244" s="2"/>
      <c r="CN244" s="2"/>
      <c r="CO244" s="35"/>
      <c r="CP244" s="134" t="s">
        <v>335</v>
      </c>
      <c r="CQ244" s="98" t="s">
        <v>2</v>
      </c>
      <c r="CR244" s="128">
        <v>1.1865000000000001</v>
      </c>
      <c r="CS244" s="129">
        <v>8.9999999999999993E-3</v>
      </c>
      <c r="CT244" s="129">
        <v>8.8999999999999995E-4</v>
      </c>
      <c r="CU244" s="130">
        <v>0.15448787270199291</v>
      </c>
      <c r="CV244" s="128">
        <v>0.20119999999999999</v>
      </c>
      <c r="CW244" s="128">
        <v>1.38405</v>
      </c>
      <c r="CX244" s="98">
        <v>1</v>
      </c>
    </row>
    <row r="245" spans="1:102" s="4" customFormat="1" x14ac:dyDescent="0.25">
      <c r="A245" s="6"/>
      <c r="B245" s="6"/>
      <c r="C245" s="6"/>
      <c r="D245" s="6"/>
      <c r="E245" s="6"/>
      <c r="F245" s="6"/>
      <c r="G245" s="6"/>
      <c r="H245" s="6"/>
      <c r="I245" s="6"/>
      <c r="J245" s="6"/>
      <c r="K245" s="6"/>
      <c r="L245" s="6"/>
      <c r="M245" s="133" t="s">
        <v>335</v>
      </c>
      <c r="N245" s="98" t="s">
        <v>3</v>
      </c>
      <c r="O245" s="125">
        <v>8146.7</v>
      </c>
      <c r="P245" s="124">
        <v>6864.2999999999993</v>
      </c>
      <c r="Q245" s="124">
        <v>794.59999999999991</v>
      </c>
      <c r="R245" s="124">
        <v>487.79999999999995</v>
      </c>
      <c r="S245" s="124">
        <v>5707.4000000000015</v>
      </c>
      <c r="T245" s="124">
        <v>1970.3999999999996</v>
      </c>
      <c r="U245" s="124">
        <v>468.89999999999873</v>
      </c>
      <c r="V245" s="124">
        <v>5099.1999999999989</v>
      </c>
      <c r="W245" s="124">
        <v>1470</v>
      </c>
      <c r="X245" s="124">
        <v>1577.5</v>
      </c>
      <c r="Y245" s="6"/>
      <c r="Z245" s="6"/>
      <c r="AA245" s="133" t="s">
        <v>335</v>
      </c>
      <c r="AB245" s="98" t="s">
        <v>3</v>
      </c>
      <c r="AC245" s="125">
        <v>6201.3</v>
      </c>
      <c r="AD245" s="124">
        <v>2598.4</v>
      </c>
      <c r="AE245" s="124">
        <v>3510.2</v>
      </c>
      <c r="AF245" s="124">
        <v>2218.1999999999998</v>
      </c>
      <c r="AG245" s="124">
        <v>3340.1</v>
      </c>
      <c r="AH245" s="126">
        <v>550.29999999999995</v>
      </c>
      <c r="AI245" s="6"/>
      <c r="AJ245" s="6"/>
      <c r="AK245" s="6"/>
      <c r="AL245" s="133" t="s">
        <v>335</v>
      </c>
      <c r="AM245" s="98" t="s">
        <v>3</v>
      </c>
      <c r="AN245" s="125">
        <v>1495</v>
      </c>
      <c r="AO245" s="124">
        <v>885</v>
      </c>
      <c r="AP245" s="124">
        <v>467</v>
      </c>
      <c r="AQ245" s="124">
        <v>143</v>
      </c>
      <c r="AR245" s="124"/>
      <c r="AS245" s="124"/>
      <c r="AT245" s="124">
        <v>808</v>
      </c>
      <c r="AU245" s="124">
        <v>500</v>
      </c>
      <c r="AV245" s="124">
        <v>187</v>
      </c>
      <c r="AW245" s="124">
        <v>621</v>
      </c>
      <c r="AX245" s="124">
        <v>635</v>
      </c>
      <c r="AY245" s="124">
        <v>239</v>
      </c>
      <c r="AZ245" s="6"/>
      <c r="BA245" s="2"/>
      <c r="BB245" s="2"/>
      <c r="BC245" s="134" t="s">
        <v>335</v>
      </c>
      <c r="BD245" s="98" t="s">
        <v>3</v>
      </c>
      <c r="BE245" s="36">
        <v>2350.2080000000001</v>
      </c>
      <c r="BF245" s="35">
        <v>1934.087</v>
      </c>
      <c r="BG245" s="124">
        <v>416.12099999999998</v>
      </c>
      <c r="BH245" s="124"/>
      <c r="BI245" s="113">
        <v>0.15511812245024587</v>
      </c>
      <c r="BJ245" s="6"/>
      <c r="BK245" s="6"/>
      <c r="BL245" s="133" t="s">
        <v>335</v>
      </c>
      <c r="BM245" s="98" t="s">
        <v>3</v>
      </c>
      <c r="BN245" s="125">
        <v>1606</v>
      </c>
      <c r="BO245" s="124">
        <v>692</v>
      </c>
      <c r="BP245" s="124">
        <v>534</v>
      </c>
      <c r="BQ245" s="124">
        <v>247</v>
      </c>
      <c r="BR245" s="124">
        <v>133</v>
      </c>
      <c r="BS245" s="124">
        <v>866</v>
      </c>
      <c r="BT245" s="124">
        <v>77</v>
      </c>
      <c r="BU245" s="124">
        <v>663</v>
      </c>
      <c r="BV245" s="124">
        <v>513</v>
      </c>
      <c r="BW245" s="124">
        <v>716</v>
      </c>
      <c r="BX245" s="124">
        <v>377</v>
      </c>
      <c r="BY245" s="6"/>
      <c r="BZ245" s="6"/>
      <c r="CA245" s="2"/>
      <c r="CB245" s="134" t="s">
        <v>335</v>
      </c>
      <c r="CC245" s="98" t="s">
        <v>3</v>
      </c>
      <c r="CD245" s="36">
        <v>754.47</v>
      </c>
      <c r="CE245" s="35">
        <v>2306</v>
      </c>
      <c r="CF245" s="35">
        <v>1952.32</v>
      </c>
      <c r="CG245" s="35">
        <v>27198</v>
      </c>
      <c r="CH245" s="36">
        <v>10129</v>
      </c>
      <c r="CI245" s="36">
        <v>20189</v>
      </c>
      <c r="CJ245" s="36">
        <v>1411</v>
      </c>
      <c r="CK245" s="36">
        <v>129.803</v>
      </c>
      <c r="CL245" s="36">
        <v>1873.5</v>
      </c>
      <c r="CM245" s="2"/>
      <c r="CN245" s="2"/>
      <c r="CO245" s="35"/>
      <c r="CP245" s="134" t="s">
        <v>335</v>
      </c>
      <c r="CQ245" s="98" t="s">
        <v>3</v>
      </c>
      <c r="CR245" s="128">
        <v>1.1595</v>
      </c>
      <c r="CS245" s="129">
        <v>8.9999999999999993E-3</v>
      </c>
      <c r="CT245" s="129">
        <v>8.4999999999999995E-4</v>
      </c>
      <c r="CU245" s="130">
        <v>0.15511812245024587</v>
      </c>
      <c r="CV245" s="128">
        <v>0.18379999999999999</v>
      </c>
      <c r="CW245" s="128">
        <v>1.3540700000000001</v>
      </c>
      <c r="CX245" s="98">
        <v>1</v>
      </c>
    </row>
    <row r="246" spans="1:102" s="4" customFormat="1" x14ac:dyDescent="0.25">
      <c r="A246" s="6"/>
      <c r="B246" s="6"/>
      <c r="C246" s="6"/>
      <c r="D246" s="6"/>
      <c r="E246" s="6"/>
      <c r="F246" s="6"/>
      <c r="G246" s="6"/>
      <c r="H246" s="6"/>
      <c r="I246" s="6"/>
      <c r="J246" s="6"/>
      <c r="K246" s="6"/>
      <c r="L246" s="6"/>
      <c r="M246" s="133" t="s">
        <v>335</v>
      </c>
      <c r="N246" s="98" t="s">
        <v>4</v>
      </c>
      <c r="O246" s="125">
        <v>8050.4</v>
      </c>
      <c r="P246" s="124">
        <v>6722.4</v>
      </c>
      <c r="Q246" s="124">
        <v>850.8</v>
      </c>
      <c r="R246" s="124">
        <v>477.2</v>
      </c>
      <c r="S246" s="124">
        <v>5723.3</v>
      </c>
      <c r="T246" s="124">
        <v>1875.9</v>
      </c>
      <c r="U246" s="124">
        <v>451.19999999999891</v>
      </c>
      <c r="V246" s="124">
        <v>4898.3999999999996</v>
      </c>
      <c r="W246" s="124">
        <v>1434.6</v>
      </c>
      <c r="X246" s="124">
        <v>1717.4</v>
      </c>
      <c r="Y246" s="6"/>
      <c r="Z246" s="6"/>
      <c r="AA246" s="133" t="s">
        <v>335</v>
      </c>
      <c r="AB246" s="98" t="s">
        <v>4</v>
      </c>
      <c r="AC246" s="125">
        <v>6009.1</v>
      </c>
      <c r="AD246" s="124">
        <v>2538.3999999999996</v>
      </c>
      <c r="AE246" s="124">
        <v>3381.2000000000007</v>
      </c>
      <c r="AF246" s="124">
        <v>2218.1000000000004</v>
      </c>
      <c r="AG246" s="124">
        <v>3184</v>
      </c>
      <c r="AH246" s="126">
        <v>528.5</v>
      </c>
      <c r="AI246" s="6"/>
      <c r="AJ246" s="6"/>
      <c r="AK246" s="6"/>
      <c r="AL246" s="133" t="s">
        <v>335</v>
      </c>
      <c r="AM246" s="98" t="s">
        <v>4</v>
      </c>
      <c r="AN246" s="125">
        <v>1546</v>
      </c>
      <c r="AO246" s="124">
        <v>916</v>
      </c>
      <c r="AP246" s="124">
        <v>480</v>
      </c>
      <c r="AQ246" s="124">
        <v>145</v>
      </c>
      <c r="AR246" s="124">
        <v>5</v>
      </c>
      <c r="AS246" s="124"/>
      <c r="AT246" s="124">
        <v>835</v>
      </c>
      <c r="AU246" s="124">
        <v>512</v>
      </c>
      <c r="AV246" s="124">
        <v>199</v>
      </c>
      <c r="AW246" s="124">
        <v>660</v>
      </c>
      <c r="AX246" s="124">
        <v>648</v>
      </c>
      <c r="AY246" s="124">
        <v>238</v>
      </c>
      <c r="AZ246" s="6"/>
      <c r="BA246" s="2"/>
      <c r="BB246" s="2"/>
      <c r="BC246" s="134" t="s">
        <v>335</v>
      </c>
      <c r="BD246" s="98" t="s">
        <v>4</v>
      </c>
      <c r="BE246" s="36">
        <v>2432.6640000000002</v>
      </c>
      <c r="BF246" s="35">
        <v>1983.827</v>
      </c>
      <c r="BG246" s="124">
        <v>448.83699999999999</v>
      </c>
      <c r="BH246" s="124"/>
      <c r="BI246" s="113">
        <v>0.15733413049292783</v>
      </c>
      <c r="BJ246" s="6"/>
      <c r="BK246" s="6"/>
      <c r="BL246" s="133" t="s">
        <v>335</v>
      </c>
      <c r="BM246" s="98" t="s">
        <v>4</v>
      </c>
      <c r="BN246" s="125">
        <v>1890</v>
      </c>
      <c r="BO246" s="124">
        <v>794</v>
      </c>
      <c r="BP246" s="124">
        <v>684</v>
      </c>
      <c r="BQ246" s="124">
        <v>281</v>
      </c>
      <c r="BR246" s="124">
        <v>131</v>
      </c>
      <c r="BS246" s="124">
        <v>1078</v>
      </c>
      <c r="BT246" s="124">
        <v>68</v>
      </c>
      <c r="BU246" s="124">
        <v>744</v>
      </c>
      <c r="BV246" s="124">
        <v>597</v>
      </c>
      <c r="BW246" s="124">
        <v>820</v>
      </c>
      <c r="BX246" s="124">
        <v>473</v>
      </c>
      <c r="BY246" s="6"/>
      <c r="BZ246" s="6"/>
      <c r="CA246" s="2"/>
      <c r="CB246" s="134" t="s">
        <v>335</v>
      </c>
      <c r="CC246" s="98" t="s">
        <v>4</v>
      </c>
      <c r="CD246" s="36">
        <v>776.69</v>
      </c>
      <c r="CE246" s="35">
        <v>2272.1999999999998</v>
      </c>
      <c r="CF246" s="35">
        <v>1960.63</v>
      </c>
      <c r="CG246" s="35">
        <v>28167</v>
      </c>
      <c r="CH246" s="36">
        <v>9464</v>
      </c>
      <c r="CI246" s="36">
        <v>25248</v>
      </c>
      <c r="CJ246" s="36">
        <v>1425</v>
      </c>
      <c r="CK246" s="36">
        <v>140.08000000000001</v>
      </c>
      <c r="CL246" s="36">
        <v>1873.5</v>
      </c>
      <c r="CM246" s="2"/>
      <c r="CN246" s="2"/>
      <c r="CO246" s="35"/>
      <c r="CP246" s="134" t="s">
        <v>335</v>
      </c>
      <c r="CQ246" s="98" t="s">
        <v>4</v>
      </c>
      <c r="CR246" s="128">
        <v>1.1371</v>
      </c>
      <c r="CS246" s="129">
        <v>8.6999999999999994E-3</v>
      </c>
      <c r="CT246" s="129">
        <v>8.4000000000000003E-4</v>
      </c>
      <c r="CU246" s="130">
        <v>0.15733413049292783</v>
      </c>
      <c r="CV246" s="128">
        <v>0.17949999999999999</v>
      </c>
      <c r="CW246" s="128">
        <v>1.34335</v>
      </c>
      <c r="CX246" s="98">
        <v>1</v>
      </c>
    </row>
    <row r="247" spans="1:102" s="4" customFormat="1" x14ac:dyDescent="0.25">
      <c r="A247" s="6"/>
      <c r="B247" s="6"/>
      <c r="C247" s="6"/>
      <c r="D247" s="6"/>
      <c r="E247" s="6"/>
      <c r="F247" s="6"/>
      <c r="G247" s="6"/>
      <c r="H247" s="6"/>
      <c r="I247" s="6"/>
      <c r="J247" s="6"/>
      <c r="K247" s="6"/>
      <c r="L247" s="6"/>
      <c r="M247" s="133" t="s">
        <v>336</v>
      </c>
      <c r="N247" s="98" t="s">
        <v>1</v>
      </c>
      <c r="O247" s="125">
        <v>7636</v>
      </c>
      <c r="P247" s="124">
        <v>6276.7</v>
      </c>
      <c r="Q247" s="124">
        <v>849.5</v>
      </c>
      <c r="R247" s="124">
        <v>509.4</v>
      </c>
      <c r="S247" s="124">
        <v>5445.7</v>
      </c>
      <c r="T247" s="124">
        <v>1702.4</v>
      </c>
      <c r="U247" s="124">
        <v>487.5</v>
      </c>
      <c r="V247" s="124">
        <v>4599</v>
      </c>
      <c r="W247" s="124">
        <v>1364.3</v>
      </c>
      <c r="X247" s="124">
        <v>1672.3</v>
      </c>
      <c r="Y247" s="6"/>
      <c r="Z247" s="6"/>
      <c r="AA247" s="133" t="s">
        <v>336</v>
      </c>
      <c r="AB247" s="98" t="s">
        <v>1</v>
      </c>
      <c r="AC247" s="125">
        <v>5665.6</v>
      </c>
      <c r="AD247" s="124">
        <v>2302.4</v>
      </c>
      <c r="AE247" s="124">
        <v>3262.8</v>
      </c>
      <c r="AF247" s="124">
        <v>2132.5</v>
      </c>
      <c r="AG247" s="124">
        <v>2884</v>
      </c>
      <c r="AH247" s="126">
        <v>548.70000000000005</v>
      </c>
      <c r="AI247" s="6"/>
      <c r="AJ247" s="6"/>
      <c r="AK247" s="6"/>
      <c r="AL247" s="133" t="s">
        <v>336</v>
      </c>
      <c r="AM247" s="98" t="s">
        <v>1</v>
      </c>
      <c r="AN247" s="125">
        <v>1451</v>
      </c>
      <c r="AO247" s="124">
        <v>829</v>
      </c>
      <c r="AP247" s="124">
        <v>443</v>
      </c>
      <c r="AQ247" s="124">
        <v>148</v>
      </c>
      <c r="AR247" s="124">
        <v>31</v>
      </c>
      <c r="AS247" s="124"/>
      <c r="AT247" s="124">
        <v>747</v>
      </c>
      <c r="AU247" s="124">
        <v>521</v>
      </c>
      <c r="AV247" s="124">
        <v>183</v>
      </c>
      <c r="AW247" s="124">
        <v>609</v>
      </c>
      <c r="AX247" s="124">
        <v>615</v>
      </c>
      <c r="AY247" s="124">
        <v>227</v>
      </c>
      <c r="AZ247" s="6"/>
      <c r="BA247" s="2"/>
      <c r="BB247" s="2"/>
      <c r="BC247" s="134" t="s">
        <v>336</v>
      </c>
      <c r="BD247" s="98" t="s">
        <v>1</v>
      </c>
      <c r="BE247" s="36">
        <v>2404.598</v>
      </c>
      <c r="BF247" s="35">
        <v>1855.297</v>
      </c>
      <c r="BG247" s="124">
        <v>549.30100000000004</v>
      </c>
      <c r="BH247" s="124"/>
      <c r="BI247" s="113">
        <v>0.15715610315726611</v>
      </c>
      <c r="BJ247" s="6"/>
      <c r="BK247" s="6"/>
      <c r="BL247" s="133" t="s">
        <v>336</v>
      </c>
      <c r="BM247" s="98" t="s">
        <v>1</v>
      </c>
      <c r="BN247" s="125">
        <v>1547</v>
      </c>
      <c r="BO247" s="124">
        <v>660</v>
      </c>
      <c r="BP247" s="124">
        <v>517</v>
      </c>
      <c r="BQ247" s="124">
        <v>244</v>
      </c>
      <c r="BR247" s="124">
        <v>126</v>
      </c>
      <c r="BS247" s="124">
        <v>842</v>
      </c>
      <c r="BT247" s="124">
        <v>77</v>
      </c>
      <c r="BU247" s="124">
        <v>628</v>
      </c>
      <c r="BV247" s="124">
        <v>470</v>
      </c>
      <c r="BW247" s="124">
        <v>714</v>
      </c>
      <c r="BX247" s="124">
        <v>363</v>
      </c>
      <c r="BY247" s="6"/>
      <c r="BZ247" s="6"/>
      <c r="CA247" s="2" t="s">
        <v>326</v>
      </c>
      <c r="CB247" s="134" t="s">
        <v>336</v>
      </c>
      <c r="CC247" s="98" t="s">
        <v>1</v>
      </c>
      <c r="CD247" s="36">
        <v>793.71</v>
      </c>
      <c r="CE247" s="2">
        <v>2448.9</v>
      </c>
      <c r="CF247" s="35">
        <v>2020.54</v>
      </c>
      <c r="CG247" s="35">
        <v>27457</v>
      </c>
      <c r="CH247" s="36">
        <v>10491</v>
      </c>
      <c r="CI247" s="36">
        <v>16200</v>
      </c>
      <c r="CJ247" s="36">
        <v>1519</v>
      </c>
      <c r="CK247" s="36">
        <v>152.15600000000001</v>
      </c>
      <c r="CL247" s="36">
        <v>1948</v>
      </c>
      <c r="CM247" s="2"/>
      <c r="CN247" s="2"/>
      <c r="CO247" s="35"/>
      <c r="CP247" s="134" t="s">
        <v>336</v>
      </c>
      <c r="CQ247" s="98" t="s">
        <v>1</v>
      </c>
      <c r="CR247" s="128">
        <v>1.1048</v>
      </c>
      <c r="CS247" s="129">
        <v>8.2000000000000007E-3</v>
      </c>
      <c r="CT247" s="129">
        <v>8.1999999999999998E-4</v>
      </c>
      <c r="CU247" s="135">
        <v>0.15715610315726611</v>
      </c>
      <c r="CV247" s="128">
        <v>0.21099999999999999</v>
      </c>
      <c r="CW247" s="128">
        <v>1.3137000000000001</v>
      </c>
      <c r="CX247" s="98">
        <v>1</v>
      </c>
    </row>
    <row r="248" spans="1:102" s="4" customFormat="1" x14ac:dyDescent="0.25">
      <c r="A248" s="6"/>
      <c r="B248" s="6"/>
      <c r="C248" s="6"/>
      <c r="D248" s="6"/>
      <c r="E248" s="6"/>
      <c r="F248" s="6"/>
      <c r="G248" s="6"/>
      <c r="H248" s="6"/>
      <c r="I248" s="6"/>
      <c r="J248" s="6"/>
      <c r="K248" s="6"/>
      <c r="L248" s="6"/>
      <c r="M248" s="133" t="s">
        <v>336</v>
      </c>
      <c r="N248" s="98" t="s">
        <v>2</v>
      </c>
      <c r="O248" s="125">
        <v>8150.1</v>
      </c>
      <c r="P248" s="124">
        <v>6675.5</v>
      </c>
      <c r="Q248" s="124">
        <v>956.8</v>
      </c>
      <c r="R248" s="124">
        <v>517.79999999999995</v>
      </c>
      <c r="S248" s="124">
        <v>6058.4</v>
      </c>
      <c r="T248" s="124">
        <v>1584.7</v>
      </c>
      <c r="U248" s="124">
        <v>507</v>
      </c>
      <c r="V248" s="124">
        <v>4944.6000000000004</v>
      </c>
      <c r="W248" s="124">
        <v>1472</v>
      </c>
      <c r="X248" s="124">
        <v>1733.5</v>
      </c>
      <c r="Y248" s="6"/>
      <c r="Z248" s="6"/>
      <c r="AA248" s="133" t="s">
        <v>336</v>
      </c>
      <c r="AB248" s="98" t="s">
        <v>2</v>
      </c>
      <c r="AC248" s="125">
        <v>5718.4</v>
      </c>
      <c r="AD248" s="124">
        <v>2112.8000000000002</v>
      </c>
      <c r="AE248" s="124">
        <v>3526.8</v>
      </c>
      <c r="AF248" s="124">
        <v>2410</v>
      </c>
      <c r="AG248" s="124">
        <v>2747.5</v>
      </c>
      <c r="AH248" s="126">
        <v>560.9</v>
      </c>
      <c r="AI248" s="6"/>
      <c r="AJ248" s="6"/>
      <c r="AK248" s="6"/>
      <c r="AL248" s="133" t="s">
        <v>336</v>
      </c>
      <c r="AM248" s="98" t="s">
        <v>2</v>
      </c>
      <c r="AN248" s="125">
        <v>1639</v>
      </c>
      <c r="AO248" s="124">
        <v>968</v>
      </c>
      <c r="AP248" s="124">
        <v>473</v>
      </c>
      <c r="AQ248" s="124">
        <v>165</v>
      </c>
      <c r="AR248" s="124">
        <v>33</v>
      </c>
      <c r="AS248" s="124"/>
      <c r="AT248" s="124">
        <v>878</v>
      </c>
      <c r="AU248" s="124">
        <v>571</v>
      </c>
      <c r="AV248" s="124">
        <v>190</v>
      </c>
      <c r="AW248" s="124">
        <v>708</v>
      </c>
      <c r="AX248" s="124">
        <v>676</v>
      </c>
      <c r="AY248" s="124">
        <v>255</v>
      </c>
      <c r="AZ248" s="6"/>
      <c r="BA248" s="2"/>
      <c r="BB248" s="2"/>
      <c r="BC248" s="134" t="s">
        <v>336</v>
      </c>
      <c r="BD248" s="98" t="s">
        <v>2</v>
      </c>
      <c r="BE248" s="36">
        <v>3298.7269999999999</v>
      </c>
      <c r="BF248" s="35">
        <v>2521.221</v>
      </c>
      <c r="BG248" s="124">
        <v>777.50599999999997</v>
      </c>
      <c r="BH248" s="124"/>
      <c r="BI248" s="113">
        <v>0.14923145799134457</v>
      </c>
      <c r="BJ248" s="6"/>
      <c r="BK248" s="6"/>
      <c r="BL248" s="133" t="s">
        <v>336</v>
      </c>
      <c r="BM248" s="98" t="s">
        <v>2</v>
      </c>
      <c r="BN248" s="125">
        <v>1636</v>
      </c>
      <c r="BO248" s="124">
        <v>677</v>
      </c>
      <c r="BP248" s="124">
        <v>586</v>
      </c>
      <c r="BQ248" s="124">
        <v>235</v>
      </c>
      <c r="BR248" s="124">
        <v>138</v>
      </c>
      <c r="BS248" s="124">
        <v>926</v>
      </c>
      <c r="BT248" s="124">
        <v>61</v>
      </c>
      <c r="BU248" s="124">
        <v>649</v>
      </c>
      <c r="BV248" s="124">
        <v>499</v>
      </c>
      <c r="BW248" s="124">
        <v>737</v>
      </c>
      <c r="BX248" s="124">
        <v>400</v>
      </c>
      <c r="BY248" s="6"/>
      <c r="BZ248" s="6"/>
      <c r="CA248" s="2"/>
      <c r="CB248" s="134" t="s">
        <v>336</v>
      </c>
      <c r="CC248" s="98" t="s">
        <v>2</v>
      </c>
      <c r="CD248" s="36">
        <v>832.64</v>
      </c>
      <c r="CE248" s="35">
        <v>2603</v>
      </c>
      <c r="CF248" s="35">
        <v>2213.34</v>
      </c>
      <c r="CG248" s="35">
        <v>30540</v>
      </c>
      <c r="CH248" s="36">
        <v>11325</v>
      </c>
      <c r="CI248" s="36">
        <v>20225</v>
      </c>
      <c r="CJ248" s="36">
        <v>1655</v>
      </c>
      <c r="CK248" s="36">
        <v>186.381</v>
      </c>
      <c r="CL248" s="36">
        <v>1948</v>
      </c>
      <c r="CM248" s="2"/>
      <c r="CN248" s="2"/>
      <c r="CO248" s="35"/>
      <c r="CP248" s="134" t="s">
        <v>336</v>
      </c>
      <c r="CQ248" s="98" t="s">
        <v>2</v>
      </c>
      <c r="CR248" s="128">
        <v>1.0428999999999999</v>
      </c>
      <c r="CS248" s="129">
        <v>7.4000000000000003E-3</v>
      </c>
      <c r="CT248" s="129">
        <v>7.7999999999999999E-4</v>
      </c>
      <c r="CU248" s="135">
        <v>0.14923145799134457</v>
      </c>
      <c r="CV248" s="128">
        <v>0.1903</v>
      </c>
      <c r="CW248" s="128">
        <v>1.21296</v>
      </c>
      <c r="CX248" s="98">
        <v>1</v>
      </c>
    </row>
    <row r="249" spans="1:102" s="4" customFormat="1" x14ac:dyDescent="0.25">
      <c r="A249" s="6"/>
      <c r="B249" s="6"/>
      <c r="C249" s="6"/>
      <c r="D249" s="6"/>
      <c r="E249" s="6"/>
      <c r="F249" s="6"/>
      <c r="G249" s="6"/>
      <c r="H249" s="6"/>
      <c r="I249" s="6"/>
      <c r="J249" s="6"/>
      <c r="K249" s="6"/>
      <c r="L249" s="6"/>
      <c r="M249" s="133" t="s">
        <v>336</v>
      </c>
      <c r="N249" s="98" t="s">
        <v>3</v>
      </c>
      <c r="O249" s="125">
        <v>8414.2000000000007</v>
      </c>
      <c r="P249" s="124">
        <v>6901.4</v>
      </c>
      <c r="Q249" s="124">
        <v>998.4</v>
      </c>
      <c r="R249" s="124">
        <v>514.4</v>
      </c>
      <c r="S249" s="124">
        <v>6134.4</v>
      </c>
      <c r="T249" s="124">
        <v>1777</v>
      </c>
      <c r="U249" s="124">
        <v>503</v>
      </c>
      <c r="V249" s="124">
        <v>5113.2999999999993</v>
      </c>
      <c r="W249" s="124">
        <v>1533.3000000000002</v>
      </c>
      <c r="X249" s="124">
        <v>1767.6000000000004</v>
      </c>
      <c r="Y249" s="6"/>
      <c r="Z249" s="6"/>
      <c r="AA249" s="133" t="s">
        <v>336</v>
      </c>
      <c r="AB249" s="98" t="s">
        <v>3</v>
      </c>
      <c r="AC249" s="125">
        <v>5872.1</v>
      </c>
      <c r="AD249" s="124">
        <v>2124.8000000000002</v>
      </c>
      <c r="AE249" s="124">
        <v>3671.2</v>
      </c>
      <c r="AF249" s="124">
        <v>2353.2979999999998</v>
      </c>
      <c r="AG249" s="124">
        <v>2801</v>
      </c>
      <c r="AH249" s="126">
        <v>641.85</v>
      </c>
      <c r="AI249" s="6"/>
      <c r="AJ249" s="6"/>
      <c r="AK249" s="6"/>
      <c r="AL249" s="133" t="s">
        <v>336</v>
      </c>
      <c r="AM249" s="98" t="s">
        <v>3</v>
      </c>
      <c r="AN249" s="125">
        <v>1726</v>
      </c>
      <c r="AO249" s="124">
        <v>1033</v>
      </c>
      <c r="AP249" s="124">
        <v>491</v>
      </c>
      <c r="AQ249" s="124">
        <v>164</v>
      </c>
      <c r="AR249" s="124">
        <v>38</v>
      </c>
      <c r="AS249" s="124"/>
      <c r="AT249" s="124">
        <v>940</v>
      </c>
      <c r="AU249" s="124">
        <v>587</v>
      </c>
      <c r="AV249" s="124">
        <v>199</v>
      </c>
      <c r="AW249" s="124">
        <v>759</v>
      </c>
      <c r="AX249" s="124">
        <v>698</v>
      </c>
      <c r="AY249" s="124">
        <v>269</v>
      </c>
      <c r="AZ249" s="6"/>
      <c r="BA249" s="2"/>
      <c r="BB249" s="2"/>
      <c r="BC249" s="134" t="s">
        <v>336</v>
      </c>
      <c r="BD249" s="98" t="s">
        <v>3</v>
      </c>
      <c r="BE249" s="36">
        <v>3894.643</v>
      </c>
      <c r="BF249" s="35">
        <v>2995.5419999999999</v>
      </c>
      <c r="BG249" s="124">
        <v>899.101</v>
      </c>
      <c r="BH249" s="124"/>
      <c r="BI249" s="113">
        <v>0.14019999999999999</v>
      </c>
      <c r="BJ249" s="6"/>
      <c r="BK249" s="6"/>
      <c r="BL249" s="133" t="s">
        <v>336</v>
      </c>
      <c r="BM249" s="98" t="s">
        <v>3</v>
      </c>
      <c r="BN249" s="125">
        <v>1640</v>
      </c>
      <c r="BO249" s="124">
        <v>704</v>
      </c>
      <c r="BP249" s="124">
        <v>568</v>
      </c>
      <c r="BQ249" s="124">
        <v>237</v>
      </c>
      <c r="BR249" s="124">
        <v>131</v>
      </c>
      <c r="BS249" s="124">
        <v>900</v>
      </c>
      <c r="BT249" s="124">
        <v>78</v>
      </c>
      <c r="BU249" s="124">
        <v>662</v>
      </c>
      <c r="BV249" s="124">
        <v>479</v>
      </c>
      <c r="BW249" s="124">
        <v>760</v>
      </c>
      <c r="BX249" s="124">
        <v>401</v>
      </c>
      <c r="BY249" s="6"/>
      <c r="BZ249" s="6"/>
      <c r="CA249" s="2"/>
      <c r="CB249" s="134" t="s">
        <v>336</v>
      </c>
      <c r="CC249" s="98" t="s">
        <v>3</v>
      </c>
      <c r="CD249" s="36">
        <v>784.00099999999998</v>
      </c>
      <c r="CE249" s="35">
        <v>2446.1</v>
      </c>
      <c r="CF249" s="35">
        <v>2220.1799999999998</v>
      </c>
      <c r="CG249" s="35">
        <v>31595</v>
      </c>
      <c r="CH249" s="36">
        <v>11063</v>
      </c>
      <c r="CI249" s="36">
        <v>21971</v>
      </c>
      <c r="CJ249" s="36">
        <v>1624</v>
      </c>
      <c r="CK249" s="36">
        <v>198.648</v>
      </c>
      <c r="CL249" s="36">
        <v>2127.5</v>
      </c>
      <c r="CM249" s="2"/>
      <c r="CN249" s="2"/>
      <c r="CO249" s="35"/>
      <c r="CP249" s="134" t="s">
        <v>336</v>
      </c>
      <c r="CQ249" s="98" t="s">
        <v>3</v>
      </c>
      <c r="CR249" s="128">
        <v>1.0087295454866414</v>
      </c>
      <c r="CS249" s="129">
        <v>6.8999999999999999E-3</v>
      </c>
      <c r="CT249" s="129">
        <v>6.9999999999999999E-4</v>
      </c>
      <c r="CU249" s="128">
        <v>0.14019999999999999</v>
      </c>
      <c r="CV249" s="128">
        <v>0.18440000000000001</v>
      </c>
      <c r="CW249" s="128">
        <v>1.08355</v>
      </c>
      <c r="CX249" s="98">
        <v>1</v>
      </c>
    </row>
    <row r="250" spans="1:102" s="4" customFormat="1" x14ac:dyDescent="0.25">
      <c r="A250" s="6"/>
      <c r="B250" s="6"/>
      <c r="C250" s="6"/>
      <c r="D250" s="6"/>
      <c r="E250" s="6"/>
      <c r="F250" s="6"/>
      <c r="G250" s="6"/>
      <c r="H250" s="6"/>
      <c r="I250" s="6"/>
      <c r="J250" s="6"/>
      <c r="K250" s="6"/>
      <c r="L250" s="6"/>
      <c r="M250" s="133" t="s">
        <v>336</v>
      </c>
      <c r="N250" s="98" t="s">
        <v>4</v>
      </c>
      <c r="O250" s="125">
        <v>8714</v>
      </c>
      <c r="P250" s="124">
        <v>7083.5</v>
      </c>
      <c r="Q250" s="124">
        <v>1119.5</v>
      </c>
      <c r="R250" s="124">
        <v>510.9</v>
      </c>
      <c r="S250" s="124">
        <v>6551.3</v>
      </c>
      <c r="T250" s="124">
        <v>1680.1</v>
      </c>
      <c r="U250" s="124">
        <v>483</v>
      </c>
      <c r="V250" s="124">
        <v>5173</v>
      </c>
      <c r="W250" s="124">
        <v>1565.9</v>
      </c>
      <c r="X250" s="124">
        <v>1975</v>
      </c>
      <c r="Y250" s="6"/>
      <c r="Z250" s="6"/>
      <c r="AA250" s="133" t="s">
        <v>336</v>
      </c>
      <c r="AB250" s="98" t="s">
        <v>4</v>
      </c>
      <c r="AC250" s="125">
        <v>5927</v>
      </c>
      <c r="AD250" s="124">
        <v>2207.9999999999991</v>
      </c>
      <c r="AE250" s="124">
        <v>3645.2000000000007</v>
      </c>
      <c r="AF250" s="124">
        <v>2525.2020000000002</v>
      </c>
      <c r="AG250" s="124">
        <v>2731.5</v>
      </c>
      <c r="AH250" s="126">
        <v>517.55000000000018</v>
      </c>
      <c r="AI250" s="124"/>
      <c r="AJ250" s="124"/>
      <c r="AK250" s="6"/>
      <c r="AL250" s="133" t="s">
        <v>336</v>
      </c>
      <c r="AM250" s="98" t="s">
        <v>4</v>
      </c>
      <c r="AN250" s="125">
        <v>1689</v>
      </c>
      <c r="AO250" s="124">
        <v>993</v>
      </c>
      <c r="AP250" s="124">
        <v>490</v>
      </c>
      <c r="AQ250" s="124">
        <v>170</v>
      </c>
      <c r="AR250" s="124">
        <v>36</v>
      </c>
      <c r="AS250" s="124"/>
      <c r="AT250" s="124">
        <v>893</v>
      </c>
      <c r="AU250" s="124">
        <v>594</v>
      </c>
      <c r="AV250" s="124">
        <v>202</v>
      </c>
      <c r="AW250" s="124">
        <v>743</v>
      </c>
      <c r="AX250" s="124">
        <v>672</v>
      </c>
      <c r="AY250" s="124">
        <v>274</v>
      </c>
      <c r="AZ250" s="6"/>
      <c r="BA250" s="2"/>
      <c r="BB250" s="2"/>
      <c r="BC250" s="134" t="s">
        <v>336</v>
      </c>
      <c r="BD250" s="98" t="s">
        <v>4</v>
      </c>
      <c r="BE250" s="36">
        <v>3695.0140000000001</v>
      </c>
      <c r="BF250" s="35">
        <v>2851.66</v>
      </c>
      <c r="BG250" s="124">
        <v>843.35400000000004</v>
      </c>
      <c r="BH250" s="124"/>
      <c r="BI250" s="113">
        <v>0.144619</v>
      </c>
      <c r="BJ250" s="6"/>
      <c r="BK250" s="2"/>
      <c r="BL250" s="133" t="s">
        <v>336</v>
      </c>
      <c r="BM250" s="98" t="s">
        <v>4</v>
      </c>
      <c r="BN250" s="125">
        <v>2019</v>
      </c>
      <c r="BO250" s="124">
        <v>793</v>
      </c>
      <c r="BP250" s="124">
        <v>766</v>
      </c>
      <c r="BQ250" s="124">
        <v>288</v>
      </c>
      <c r="BR250" s="124">
        <v>172</v>
      </c>
      <c r="BS250" s="124">
        <v>1211</v>
      </c>
      <c r="BT250" s="124">
        <v>60</v>
      </c>
      <c r="BU250" s="124">
        <v>748</v>
      </c>
      <c r="BV250" s="124">
        <v>624</v>
      </c>
      <c r="BW250" s="124">
        <v>885</v>
      </c>
      <c r="BX250" s="124">
        <v>510</v>
      </c>
      <c r="BY250" s="6"/>
      <c r="BZ250" s="6"/>
      <c r="CA250" s="2"/>
      <c r="CB250" s="134" t="s">
        <v>336</v>
      </c>
      <c r="CC250" s="98" t="s">
        <v>4</v>
      </c>
      <c r="CD250" s="36">
        <v>892.80500000000029</v>
      </c>
      <c r="CE250" s="35">
        <v>2486.5</v>
      </c>
      <c r="CF250" s="35">
        <v>2180.6</v>
      </c>
      <c r="CG250" s="35">
        <v>32324</v>
      </c>
      <c r="CH250" s="36">
        <v>10125</v>
      </c>
      <c r="CI250" s="36">
        <v>27996</v>
      </c>
      <c r="CJ250" s="36">
        <v>1513</v>
      </c>
      <c r="CK250" s="36">
        <v>291.827</v>
      </c>
      <c r="CL250" s="36">
        <v>2127.5</v>
      </c>
      <c r="CM250" s="2"/>
      <c r="CN250" s="2"/>
      <c r="CO250" s="35"/>
      <c r="CP250" s="134" t="s">
        <v>336</v>
      </c>
      <c r="CQ250" s="98" t="s">
        <v>4</v>
      </c>
      <c r="CR250" s="128">
        <v>1.0727</v>
      </c>
      <c r="CS250" s="129">
        <v>7.6303899999999999E-3</v>
      </c>
      <c r="CT250" s="129">
        <v>7.91989E-4</v>
      </c>
      <c r="CU250" s="128">
        <v>0.144619</v>
      </c>
      <c r="CV250" s="128">
        <v>0.189195</v>
      </c>
      <c r="CW250" s="128">
        <v>1.2736700000000001</v>
      </c>
      <c r="CX250" s="98">
        <v>1</v>
      </c>
    </row>
    <row r="251" spans="1:102" s="4" customFormat="1" x14ac:dyDescent="0.25">
      <c r="A251" s="2"/>
      <c r="B251" s="2"/>
      <c r="C251" s="2"/>
      <c r="D251" s="2"/>
      <c r="E251" s="2"/>
      <c r="F251" s="2"/>
      <c r="G251" s="2"/>
      <c r="H251" s="2"/>
      <c r="I251" s="2"/>
      <c r="J251" s="2"/>
      <c r="K251" s="2"/>
      <c r="L251" s="2"/>
      <c r="M251" s="133" t="s">
        <v>337</v>
      </c>
      <c r="N251" s="98" t="s">
        <v>1</v>
      </c>
      <c r="O251" s="36">
        <v>8719.7999999999993</v>
      </c>
      <c r="P251" s="35">
        <v>7142.3</v>
      </c>
      <c r="Q251" s="35">
        <v>1069.5</v>
      </c>
      <c r="R251" s="35">
        <v>508</v>
      </c>
      <c r="S251" s="35">
        <v>6380.6</v>
      </c>
      <c r="T251" s="35">
        <v>1854.8</v>
      </c>
      <c r="U251" s="35">
        <v>485</v>
      </c>
      <c r="V251" s="35">
        <v>5226.8999999999996</v>
      </c>
      <c r="W251" s="35">
        <v>1590.9</v>
      </c>
      <c r="X251" s="35">
        <v>1902</v>
      </c>
      <c r="Y251" s="2"/>
      <c r="Z251" s="2"/>
      <c r="AA251" s="133" t="s">
        <v>337</v>
      </c>
      <c r="AB251" s="98" t="s">
        <v>1</v>
      </c>
      <c r="AC251" s="36">
        <v>5897.8</v>
      </c>
      <c r="AD251" s="35">
        <v>2224.3000000000002</v>
      </c>
      <c r="AE251" s="35">
        <v>3587.5</v>
      </c>
      <c r="AF251" s="35">
        <v>2439.8000000000002</v>
      </c>
      <c r="AG251" s="35">
        <v>2756.6</v>
      </c>
      <c r="AH251" s="136">
        <v>615.4</v>
      </c>
      <c r="AI251" s="2"/>
      <c r="AJ251" s="2"/>
      <c r="AK251" s="2"/>
      <c r="AL251" s="133" t="s">
        <v>337</v>
      </c>
      <c r="AM251" s="98" t="s">
        <v>1</v>
      </c>
      <c r="AN251" s="36">
        <v>1590</v>
      </c>
      <c r="AO251" s="35">
        <v>900</v>
      </c>
      <c r="AP251" s="35">
        <v>484</v>
      </c>
      <c r="AQ251" s="35">
        <v>168</v>
      </c>
      <c r="AR251" s="35">
        <v>38</v>
      </c>
      <c r="AS251" s="35"/>
      <c r="AT251" s="35">
        <v>809</v>
      </c>
      <c r="AU251" s="35">
        <v>573</v>
      </c>
      <c r="AV251" s="35">
        <v>208</v>
      </c>
      <c r="AW251" s="35">
        <v>668</v>
      </c>
      <c r="AX251" s="35">
        <v>668</v>
      </c>
      <c r="AY251" s="35">
        <v>254</v>
      </c>
      <c r="AZ251" s="2"/>
      <c r="BA251" s="2"/>
      <c r="BB251" s="2"/>
      <c r="BC251" s="134" t="s">
        <v>337</v>
      </c>
      <c r="BD251" s="98" t="s">
        <v>1</v>
      </c>
      <c r="BE251" s="36">
        <v>4436.7269999999999</v>
      </c>
      <c r="BF251" s="35">
        <v>3301.3110000000001</v>
      </c>
      <c r="BG251" s="35">
        <v>1135.4159999999999</v>
      </c>
      <c r="BH251" s="35"/>
      <c r="BI251" s="108">
        <v>0.15</v>
      </c>
      <c r="BJ251" s="2"/>
      <c r="BK251" s="2"/>
      <c r="BL251" s="133" t="s">
        <v>337</v>
      </c>
      <c r="BM251" s="98" t="s">
        <v>1</v>
      </c>
      <c r="BN251" s="36">
        <v>1645</v>
      </c>
      <c r="BO251" s="35">
        <v>687</v>
      </c>
      <c r="BP251" s="35">
        <v>572</v>
      </c>
      <c r="BQ251" s="35">
        <v>254</v>
      </c>
      <c r="BR251" s="35">
        <v>132</v>
      </c>
      <c r="BS251" s="35">
        <v>916</v>
      </c>
      <c r="BT251" s="35">
        <v>84</v>
      </c>
      <c r="BU251" s="35">
        <v>645</v>
      </c>
      <c r="BV251" s="35">
        <v>474</v>
      </c>
      <c r="BW251" s="35">
        <v>770</v>
      </c>
      <c r="BX251" s="35">
        <v>401</v>
      </c>
      <c r="BY251" s="2"/>
      <c r="BZ251" s="2"/>
      <c r="CA251" s="2"/>
      <c r="CB251" s="134" t="s">
        <v>337</v>
      </c>
      <c r="CC251" s="98" t="s">
        <v>1</v>
      </c>
      <c r="CD251" s="36">
        <v>866.11</v>
      </c>
      <c r="CE251" s="2">
        <v>2786.2</v>
      </c>
      <c r="CF251" s="35">
        <v>2368.58</v>
      </c>
      <c r="CG251" s="35">
        <v>32405</v>
      </c>
      <c r="CH251" s="36">
        <v>10980</v>
      </c>
      <c r="CI251" s="36">
        <v>17846</v>
      </c>
      <c r="CJ251" s="36">
        <v>1699</v>
      </c>
      <c r="CK251" s="36">
        <v>197.267</v>
      </c>
      <c r="CL251" s="36">
        <v>1994</v>
      </c>
      <c r="CM251" s="2"/>
      <c r="CN251" s="2"/>
      <c r="CO251" s="35"/>
      <c r="CP251" s="134" t="s">
        <v>337</v>
      </c>
      <c r="CQ251" s="98" t="s">
        <v>1</v>
      </c>
      <c r="CR251" s="128">
        <v>1.08</v>
      </c>
      <c r="CS251" s="129">
        <v>7.6E-3</v>
      </c>
      <c r="CT251" s="129">
        <v>7.6999999999999996E-4</v>
      </c>
      <c r="CU251" s="128">
        <v>0.15</v>
      </c>
      <c r="CV251" s="128">
        <v>0.19</v>
      </c>
      <c r="CW251" s="128">
        <v>1.23865</v>
      </c>
      <c r="CX251" s="98">
        <v>1</v>
      </c>
    </row>
    <row r="252" spans="1:102" s="4" customFormat="1" x14ac:dyDescent="0.25">
      <c r="A252" s="2"/>
      <c r="B252" s="2"/>
      <c r="C252" s="2"/>
      <c r="D252" s="2"/>
      <c r="E252" s="2"/>
      <c r="F252" s="2"/>
      <c r="G252" s="2"/>
      <c r="H252" s="2"/>
      <c r="I252" s="2"/>
      <c r="J252" s="2"/>
      <c r="K252" s="2"/>
      <c r="L252" s="2"/>
      <c r="M252" s="133">
        <v>2023</v>
      </c>
      <c r="N252" s="98" t="s">
        <v>2</v>
      </c>
      <c r="O252" s="36">
        <v>9168.2999999999993</v>
      </c>
      <c r="P252" s="35">
        <v>7556.7</v>
      </c>
      <c r="Q252" s="35">
        <v>1136.2</v>
      </c>
      <c r="R252" s="35">
        <v>475.4</v>
      </c>
      <c r="S252" s="35">
        <v>6737.8</v>
      </c>
      <c r="T252" s="35">
        <v>1972.9</v>
      </c>
      <c r="U252" s="35">
        <v>457</v>
      </c>
      <c r="V252" s="35">
        <v>5587.9</v>
      </c>
      <c r="W252" s="35">
        <v>1704.5</v>
      </c>
      <c r="X252" s="35">
        <v>1875.9</v>
      </c>
      <c r="Y252" s="2"/>
      <c r="Z252" s="2"/>
      <c r="AA252" s="133">
        <v>2023</v>
      </c>
      <c r="AB252" s="98" t="s">
        <v>2</v>
      </c>
      <c r="AC252" s="36">
        <v>6497.5</v>
      </c>
      <c r="AD252" s="35">
        <v>2487.1999999999998</v>
      </c>
      <c r="AE252" s="35">
        <v>3933.2</v>
      </c>
      <c r="AF252" s="35">
        <v>2701.2</v>
      </c>
      <c r="AG252" s="35">
        <v>3155.6</v>
      </c>
      <c r="AH252" s="136">
        <v>640.70000000000005</v>
      </c>
      <c r="AI252" s="2"/>
      <c r="AJ252" s="2"/>
      <c r="AK252" s="2"/>
      <c r="AL252" s="133">
        <v>2023</v>
      </c>
      <c r="AM252" s="98" t="s">
        <v>2</v>
      </c>
      <c r="AN252" s="36">
        <v>1775</v>
      </c>
      <c r="AO252" s="35">
        <v>1016</v>
      </c>
      <c r="AP252" s="35">
        <v>529</v>
      </c>
      <c r="AQ252" s="35">
        <v>182</v>
      </c>
      <c r="AR252" s="35">
        <v>48</v>
      </c>
      <c r="AS252" s="35"/>
      <c r="AT252" s="35">
        <v>918</v>
      </c>
      <c r="AU252" s="35">
        <v>631</v>
      </c>
      <c r="AV252" s="35">
        <v>226</v>
      </c>
      <c r="AW252" s="35">
        <v>744</v>
      </c>
      <c r="AX252" s="35">
        <v>742</v>
      </c>
      <c r="AY252" s="35">
        <v>289</v>
      </c>
      <c r="AZ252" s="2"/>
      <c r="BA252" s="2"/>
      <c r="BB252" s="2"/>
      <c r="BC252" s="134">
        <v>2023</v>
      </c>
      <c r="BD252" s="98" t="s">
        <v>2</v>
      </c>
      <c r="BE252" s="36">
        <v>6201.4290000000001</v>
      </c>
      <c r="BF252" s="35">
        <v>4715.5959999999995</v>
      </c>
      <c r="BG252" s="35">
        <v>1485.8330000000001</v>
      </c>
      <c r="BH252" s="35"/>
      <c r="BI252" s="108">
        <v>0.14000000000000001</v>
      </c>
      <c r="BJ252" s="2"/>
      <c r="BK252" s="2"/>
      <c r="BL252" s="133">
        <v>2023</v>
      </c>
      <c r="BM252" s="98" t="s">
        <v>2</v>
      </c>
      <c r="BN252" s="36">
        <v>1687</v>
      </c>
      <c r="BO252" s="35">
        <v>682</v>
      </c>
      <c r="BP252" s="35">
        <v>621</v>
      </c>
      <c r="BQ252" s="35">
        <v>242</v>
      </c>
      <c r="BR252" s="35">
        <v>142</v>
      </c>
      <c r="BS252" s="35">
        <v>969</v>
      </c>
      <c r="BT252" s="35">
        <v>77</v>
      </c>
      <c r="BU252" s="35">
        <v>641</v>
      </c>
      <c r="BV252" s="35">
        <v>511</v>
      </c>
      <c r="BW252" s="35">
        <v>785</v>
      </c>
      <c r="BX252" s="35">
        <v>391</v>
      </c>
      <c r="BY252" s="2"/>
      <c r="BZ252" s="2"/>
      <c r="CA252" s="2"/>
      <c r="CB252" s="134">
        <v>2023</v>
      </c>
      <c r="CC252" s="98" t="s">
        <v>2</v>
      </c>
      <c r="CD252" s="36">
        <v>866.17</v>
      </c>
      <c r="CE252" s="35">
        <v>2768.9999999999991</v>
      </c>
      <c r="CF252" s="35">
        <v>2514.8000000000002</v>
      </c>
      <c r="CG252" s="35">
        <v>35180</v>
      </c>
      <c r="CH252" s="36">
        <v>11972</v>
      </c>
      <c r="CI252" s="36">
        <v>22322</v>
      </c>
      <c r="CJ252" s="36">
        <v>1855</v>
      </c>
      <c r="CK252" s="36">
        <v>249.87899999999999</v>
      </c>
      <c r="CL252" s="36">
        <v>1994</v>
      </c>
      <c r="CM252" s="2"/>
      <c r="CN252" s="2"/>
      <c r="CO252" s="35"/>
      <c r="CP252" s="134">
        <v>2023</v>
      </c>
      <c r="CQ252" s="98" t="s">
        <v>2</v>
      </c>
      <c r="CR252" s="128">
        <v>1.0915999999999999</v>
      </c>
      <c r="CS252" s="129">
        <v>6.8999999999999999E-3</v>
      </c>
      <c r="CT252" s="129">
        <v>7.6000000000000004E-4</v>
      </c>
      <c r="CU252" s="128">
        <v>0.14000000000000001</v>
      </c>
      <c r="CV252" s="128">
        <v>0.21</v>
      </c>
      <c r="CW252" s="128">
        <v>1.2844899999999999</v>
      </c>
      <c r="CX252" s="98">
        <v>1</v>
      </c>
    </row>
    <row r="253" spans="1:102" s="4" customFormat="1" x14ac:dyDescent="0.25">
      <c r="A253" s="2"/>
      <c r="B253" s="2"/>
      <c r="C253" s="2"/>
      <c r="D253" s="2"/>
      <c r="E253" s="2"/>
      <c r="F253" s="2"/>
      <c r="G253" s="2"/>
      <c r="H253" s="2"/>
      <c r="I253" s="2"/>
      <c r="J253" s="2"/>
      <c r="K253" s="2"/>
      <c r="L253" s="2"/>
      <c r="M253" s="133">
        <v>2023</v>
      </c>
      <c r="N253" s="98" t="s">
        <v>3</v>
      </c>
      <c r="O253" s="31">
        <v>9373.6</v>
      </c>
      <c r="P253" s="35">
        <v>7679.9</v>
      </c>
      <c r="Q253" s="35">
        <v>1187.5</v>
      </c>
      <c r="R253" s="35">
        <v>506.2</v>
      </c>
      <c r="S253" s="35">
        <v>6900</v>
      </c>
      <c r="T253" s="35">
        <v>1979.9</v>
      </c>
      <c r="U253" s="35">
        <v>494</v>
      </c>
      <c r="V253" s="35">
        <v>5624.3399999999992</v>
      </c>
      <c r="W253" s="35">
        <v>1687.3019999999999</v>
      </c>
      <c r="X253" s="35">
        <v>2062</v>
      </c>
      <c r="Y253" s="2"/>
      <c r="Z253" s="2"/>
      <c r="AA253" s="133">
        <v>2023</v>
      </c>
      <c r="AB253" s="98" t="s">
        <v>3</v>
      </c>
      <c r="AC253" s="31">
        <v>6692.2</v>
      </c>
      <c r="AD253" s="35">
        <v>2556.1999999999998</v>
      </c>
      <c r="AE253" s="35">
        <v>4047.1</v>
      </c>
      <c r="AF253" s="35">
        <v>2657.1</v>
      </c>
      <c r="AG253" s="35">
        <v>3258.4</v>
      </c>
      <c r="AH253" s="136">
        <v>678.8</v>
      </c>
      <c r="AI253" s="2"/>
      <c r="AJ253" s="2"/>
      <c r="AK253" s="2"/>
      <c r="AL253" s="133">
        <v>2023</v>
      </c>
      <c r="AM253" s="98" t="s">
        <v>3</v>
      </c>
      <c r="AN253" s="31">
        <v>1837</v>
      </c>
      <c r="AO253" s="35">
        <v>1060</v>
      </c>
      <c r="AP253" s="35">
        <v>538</v>
      </c>
      <c r="AQ253" s="35">
        <v>188</v>
      </c>
      <c r="AR253" s="35">
        <v>51</v>
      </c>
      <c r="AS253" s="35"/>
      <c r="AT253" s="35">
        <v>956</v>
      </c>
      <c r="AU253" s="35">
        <v>645</v>
      </c>
      <c r="AV253" s="35">
        <v>236</v>
      </c>
      <c r="AW253" s="35">
        <v>771</v>
      </c>
      <c r="AX253" s="35">
        <v>753</v>
      </c>
      <c r="AY253" s="35">
        <v>313</v>
      </c>
      <c r="AZ253" s="2"/>
      <c r="BA253" s="2"/>
      <c r="BB253" s="2"/>
      <c r="BC253" s="134">
        <v>2023</v>
      </c>
      <c r="BD253" s="98" t="s">
        <v>3</v>
      </c>
      <c r="BE253" s="31">
        <v>7200.0389999999998</v>
      </c>
      <c r="BF253" s="35">
        <v>5359.2619999999997</v>
      </c>
      <c r="BG253" s="35">
        <v>1840.777</v>
      </c>
      <c r="BH253" s="35"/>
      <c r="BI253" s="108">
        <v>0.13669999999999999</v>
      </c>
      <c r="BJ253" s="2"/>
      <c r="BK253" s="2"/>
      <c r="BL253" s="133">
        <v>2023</v>
      </c>
      <c r="BM253" s="98" t="s">
        <v>3</v>
      </c>
      <c r="BN253" s="31">
        <v>1708</v>
      </c>
      <c r="BO253" s="35">
        <v>700</v>
      </c>
      <c r="BP253" s="35">
        <v>629</v>
      </c>
      <c r="BQ253" s="35">
        <v>242</v>
      </c>
      <c r="BR253" s="35">
        <v>137</v>
      </c>
      <c r="BS253" s="35">
        <v>965</v>
      </c>
      <c r="BT253" s="35">
        <v>84</v>
      </c>
      <c r="BU253" s="35">
        <v>659</v>
      </c>
      <c r="BV253" s="35">
        <v>510</v>
      </c>
      <c r="BW253" s="35">
        <v>796</v>
      </c>
      <c r="BX253" s="35">
        <v>402</v>
      </c>
      <c r="BY253" s="2"/>
      <c r="BZ253" s="2"/>
      <c r="CA253" s="2"/>
      <c r="CB253" s="134">
        <v>2023</v>
      </c>
      <c r="CC253" s="98" t="s">
        <v>3</v>
      </c>
      <c r="CD253" s="36">
        <v>830.21</v>
      </c>
      <c r="CE253" s="35">
        <v>2730.6</v>
      </c>
      <c r="CF253" s="35">
        <v>2471.9499999999998</v>
      </c>
      <c r="CG253" s="35">
        <v>35785</v>
      </c>
      <c r="CH253" s="36">
        <v>11953</v>
      </c>
      <c r="CI253" s="36">
        <v>23453</v>
      </c>
      <c r="CJ253" s="36">
        <v>1856</v>
      </c>
      <c r="CK253" s="36">
        <v>264.50700000000001</v>
      </c>
      <c r="CL253" s="36">
        <v>2101.5</v>
      </c>
      <c r="CM253" s="2"/>
      <c r="CN253" s="2"/>
      <c r="CO253" s="35"/>
      <c r="CP253" s="134">
        <v>2023</v>
      </c>
      <c r="CQ253" s="98" t="s">
        <v>3</v>
      </c>
      <c r="CR253" s="128">
        <v>1.0587</v>
      </c>
      <c r="CS253" s="129">
        <v>6.7000000000000002E-3</v>
      </c>
      <c r="CT253" s="129">
        <v>7.3999999999999999E-4</v>
      </c>
      <c r="CU253" s="128">
        <v>0.13669999999999999</v>
      </c>
      <c r="CV253" s="128">
        <v>0.19869999999999999</v>
      </c>
      <c r="CW253" s="128">
        <v>1.2197499999999999</v>
      </c>
      <c r="CX253" s="98">
        <v>1</v>
      </c>
    </row>
    <row r="254" spans="1:102" s="4" customFormat="1" x14ac:dyDescent="0.25">
      <c r="A254" s="2"/>
      <c r="B254" s="2"/>
      <c r="C254" s="2"/>
      <c r="D254" s="2"/>
      <c r="E254" s="2"/>
      <c r="F254" s="2"/>
      <c r="G254" s="2"/>
      <c r="H254" s="2"/>
      <c r="I254" s="2"/>
      <c r="J254" s="2"/>
      <c r="K254" s="2"/>
      <c r="L254" s="2"/>
      <c r="M254" s="133">
        <v>2023</v>
      </c>
      <c r="N254" s="98" t="s">
        <v>4</v>
      </c>
      <c r="O254" s="36">
        <v>9425.2999999999993</v>
      </c>
      <c r="P254" s="35">
        <v>7755.2</v>
      </c>
      <c r="Q254" s="35">
        <v>1192.0999999999999</v>
      </c>
      <c r="R254" s="35">
        <v>478</v>
      </c>
      <c r="S254" s="35">
        <v>7120.7</v>
      </c>
      <c r="T254" s="35">
        <v>1846.3</v>
      </c>
      <c r="U254" s="35">
        <v>458</v>
      </c>
      <c r="V254" s="35">
        <v>5695.9</v>
      </c>
      <c r="W254" s="35">
        <v>1757.1</v>
      </c>
      <c r="X254" s="35">
        <v>1972.3</v>
      </c>
      <c r="Y254" s="2"/>
      <c r="Z254" s="2"/>
      <c r="AA254" s="133">
        <v>2023</v>
      </c>
      <c r="AB254" s="98" t="s">
        <v>4</v>
      </c>
      <c r="AC254" s="36">
        <v>6406.2</v>
      </c>
      <c r="AD254" s="35">
        <v>2474.1</v>
      </c>
      <c r="AE254" s="35">
        <v>3868.6</v>
      </c>
      <c r="AF254" s="35">
        <v>2442.527</v>
      </c>
      <c r="AG254" s="35">
        <v>3020.4880000000012</v>
      </c>
      <c r="AH254" s="136">
        <v>547.38600000000019</v>
      </c>
      <c r="AI254" s="35"/>
      <c r="AJ254" s="35"/>
      <c r="AK254" s="2"/>
      <c r="AL254" s="133">
        <v>2023</v>
      </c>
      <c r="AM254" s="98" t="s">
        <v>4</v>
      </c>
      <c r="AN254" s="36">
        <v>1820</v>
      </c>
      <c r="AO254" s="35">
        <v>1018</v>
      </c>
      <c r="AP254" s="35">
        <v>345</v>
      </c>
      <c r="AQ254" s="35">
        <v>182</v>
      </c>
      <c r="AR254" s="35">
        <v>51</v>
      </c>
      <c r="AS254" s="35">
        <v>224</v>
      </c>
      <c r="AT254" s="35">
        <v>947</v>
      </c>
      <c r="AU254" s="35">
        <v>669</v>
      </c>
      <c r="AV254" s="35">
        <v>204</v>
      </c>
      <c r="AW254" s="35">
        <v>767</v>
      </c>
      <c r="AX254" s="35">
        <v>740</v>
      </c>
      <c r="AY254" s="35">
        <v>313</v>
      </c>
      <c r="AZ254" s="2"/>
      <c r="BA254" s="2"/>
      <c r="BB254" s="2"/>
      <c r="BC254" s="134">
        <v>2023</v>
      </c>
      <c r="BD254" s="98" t="s">
        <v>4</v>
      </c>
      <c r="BE254" s="36">
        <v>7064.9709999999995</v>
      </c>
      <c r="BF254" s="35">
        <v>5301.2209999999995</v>
      </c>
      <c r="BG254" s="35">
        <v>1763.75</v>
      </c>
      <c r="BH254" s="35"/>
      <c r="BI254" s="108">
        <v>0.140985</v>
      </c>
      <c r="BJ254" s="2"/>
      <c r="BK254" s="2"/>
      <c r="BL254" s="133">
        <v>2023</v>
      </c>
      <c r="BM254" s="98" t="s">
        <v>4</v>
      </c>
      <c r="BN254" s="36">
        <v>2036</v>
      </c>
      <c r="BO254" s="35">
        <v>761</v>
      </c>
      <c r="BP254" s="35">
        <v>819</v>
      </c>
      <c r="BQ254" s="35">
        <v>281</v>
      </c>
      <c r="BR254" s="35">
        <v>175</v>
      </c>
      <c r="BS254" s="35">
        <v>1256</v>
      </c>
      <c r="BT254" s="35">
        <v>71</v>
      </c>
      <c r="BU254" s="35">
        <v>709</v>
      </c>
      <c r="BV254" s="35">
        <v>647</v>
      </c>
      <c r="BW254" s="35">
        <v>896</v>
      </c>
      <c r="BX254" s="35">
        <v>493</v>
      </c>
      <c r="BY254" s="2"/>
      <c r="BZ254" s="2"/>
      <c r="CA254" s="2"/>
      <c r="CB254" s="134">
        <v>2023</v>
      </c>
      <c r="CC254" s="98" t="s">
        <v>4</v>
      </c>
      <c r="CD254" s="36">
        <v>877.01</v>
      </c>
      <c r="CE254" s="35">
        <v>2727.3</v>
      </c>
      <c r="CF254" s="35">
        <v>2516.3200000000002</v>
      </c>
      <c r="CG254" s="35">
        <v>35273</v>
      </c>
      <c r="CH254" s="36">
        <v>10849</v>
      </c>
      <c r="CI254" s="36">
        <v>27850</v>
      </c>
      <c r="CJ254" s="36">
        <v>1730</v>
      </c>
      <c r="CK254" s="36">
        <v>254.12299999999999</v>
      </c>
      <c r="CL254" s="36">
        <v>2101.5</v>
      </c>
      <c r="CM254" s="2"/>
      <c r="CN254" s="2"/>
      <c r="CO254" s="35"/>
      <c r="CP254" s="134">
        <v>2023</v>
      </c>
      <c r="CQ254" s="98" t="s">
        <v>4</v>
      </c>
      <c r="CR254" s="137">
        <v>1.1051</v>
      </c>
      <c r="CS254" s="137">
        <v>7.0904799999999997E-3</v>
      </c>
      <c r="CT254" s="137">
        <v>7.7209900000000005E-4</v>
      </c>
      <c r="CU254" s="137">
        <v>0.140985</v>
      </c>
      <c r="CV254" s="128">
        <v>0.20610899999999999</v>
      </c>
      <c r="CW254" s="128">
        <v>1.2736700000000001</v>
      </c>
      <c r="CX254" s="98">
        <v>1</v>
      </c>
    </row>
    <row r="255" spans="1:102" s="4" customFormat="1" x14ac:dyDescent="0.25">
      <c r="A255" s="2"/>
      <c r="B255" s="2"/>
      <c r="C255" s="2"/>
      <c r="D255" s="2"/>
      <c r="E255" s="2"/>
      <c r="F255" s="2"/>
      <c r="G255" s="2"/>
      <c r="H255" s="2"/>
      <c r="I255" s="2"/>
      <c r="J255" s="2"/>
      <c r="K255" s="2"/>
      <c r="L255" s="2"/>
      <c r="M255" s="133">
        <v>2024</v>
      </c>
      <c r="N255" s="98" t="s">
        <v>1</v>
      </c>
      <c r="O255" s="32">
        <v>8563</v>
      </c>
      <c r="P255" s="35">
        <v>7052.6</v>
      </c>
      <c r="Q255" s="35">
        <v>1054.5</v>
      </c>
      <c r="R255" s="35">
        <v>455.9</v>
      </c>
      <c r="S255" s="35">
        <v>6380</v>
      </c>
      <c r="T255" s="35">
        <v>1757.3</v>
      </c>
      <c r="U255" s="35">
        <v>425.7</v>
      </c>
      <c r="V255" s="35">
        <v>5160.6000000000004</v>
      </c>
      <c r="W255" s="35">
        <v>1583</v>
      </c>
      <c r="X255" s="35">
        <v>1819.4</v>
      </c>
      <c r="Y255" s="2"/>
      <c r="Z255" s="2"/>
      <c r="AA255" s="133">
        <v>2024</v>
      </c>
      <c r="AB255" s="98" t="s">
        <v>1</v>
      </c>
      <c r="AC255" s="31">
        <v>6169</v>
      </c>
      <c r="AD255" s="35">
        <v>2355</v>
      </c>
      <c r="AE255" s="35">
        <v>3723</v>
      </c>
      <c r="AF255" s="35">
        <v>2500.7950000000001</v>
      </c>
      <c r="AG255" s="35">
        <v>2831.0281999999997</v>
      </c>
      <c r="AH255" s="136">
        <v>603.09199999999998</v>
      </c>
      <c r="AI255" s="35"/>
      <c r="AJ255" s="35"/>
      <c r="AK255" s="2"/>
      <c r="AL255" s="133">
        <v>2024</v>
      </c>
      <c r="AM255" s="98" t="s">
        <v>1</v>
      </c>
      <c r="AN255" s="31">
        <v>1739</v>
      </c>
      <c r="AO255" s="35">
        <v>939</v>
      </c>
      <c r="AP255" s="35">
        <v>350</v>
      </c>
      <c r="AQ255" s="35">
        <v>178</v>
      </c>
      <c r="AR255" s="35">
        <v>50</v>
      </c>
      <c r="AS255" s="35">
        <v>222</v>
      </c>
      <c r="AT255" s="35">
        <v>856</v>
      </c>
      <c r="AU255" s="35">
        <v>661</v>
      </c>
      <c r="AV255" s="35">
        <v>222</v>
      </c>
      <c r="AW255" s="35">
        <v>729</v>
      </c>
      <c r="AX255" s="35">
        <v>712</v>
      </c>
      <c r="AY255" s="35">
        <v>298</v>
      </c>
      <c r="AZ255" s="2"/>
      <c r="BA255" s="2"/>
      <c r="BB255" s="2"/>
      <c r="BC255" s="134">
        <v>2024</v>
      </c>
      <c r="BD255" s="98" t="s">
        <v>1</v>
      </c>
      <c r="BE255" s="31">
        <v>6278.143</v>
      </c>
      <c r="BF255" s="35">
        <v>4770.16</v>
      </c>
      <c r="BG255" s="35">
        <v>1507.9829999999999</v>
      </c>
      <c r="BH255" s="35"/>
      <c r="BI255" s="108">
        <v>0.13849900000000001</v>
      </c>
      <c r="BJ255" s="2"/>
      <c r="BK255" s="2"/>
      <c r="BL255" s="133">
        <v>2024</v>
      </c>
      <c r="BM255" s="98" t="s">
        <v>1</v>
      </c>
      <c r="BN255" s="31">
        <v>1598</v>
      </c>
      <c r="BO255" s="35">
        <v>632</v>
      </c>
      <c r="BP255" s="35">
        <v>598</v>
      </c>
      <c r="BQ255" s="35">
        <v>238</v>
      </c>
      <c r="BR255" s="35">
        <v>130</v>
      </c>
      <c r="BS255" s="35">
        <v>927</v>
      </c>
      <c r="BT255" s="35">
        <v>85</v>
      </c>
      <c r="BU255" s="35">
        <v>586</v>
      </c>
      <c r="BV255" s="35">
        <v>474</v>
      </c>
      <c r="BW255" s="35">
        <v>757</v>
      </c>
      <c r="BX255" s="35">
        <v>367</v>
      </c>
      <c r="BY255" s="2"/>
      <c r="BZ255" s="2"/>
      <c r="CA255" s="2"/>
      <c r="CB255" s="134">
        <v>2024</v>
      </c>
      <c r="CC255" s="98" t="s">
        <v>1</v>
      </c>
      <c r="CD255" s="36">
        <v>891.22299999999996</v>
      </c>
      <c r="CE255" s="35">
        <v>2974.8</v>
      </c>
      <c r="CF255" s="35">
        <v>2701.85</v>
      </c>
      <c r="CG255" s="35">
        <v>34391</v>
      </c>
      <c r="CH255" s="36">
        <v>11300</v>
      </c>
      <c r="CI255" s="36">
        <v>18250</v>
      </c>
      <c r="CJ255" s="36">
        <v>1899</v>
      </c>
      <c r="CK255" s="36">
        <v>275.09899999999999</v>
      </c>
      <c r="CL255" s="36">
        <v>2105</v>
      </c>
      <c r="CM255" s="2"/>
      <c r="CN255" s="2"/>
      <c r="CO255" s="35"/>
      <c r="CP255" s="134">
        <v>2024</v>
      </c>
      <c r="CQ255" s="98" t="s">
        <v>1</v>
      </c>
      <c r="CR255" s="128">
        <v>1.0797000000000001</v>
      </c>
      <c r="CS255" s="128">
        <v>6.6056400000000003E-3</v>
      </c>
      <c r="CT255" s="128">
        <v>7.2400100000000005E-4</v>
      </c>
      <c r="CU255" s="128">
        <v>0.13849900000000001</v>
      </c>
      <c r="CV255" s="128">
        <v>0.19937299999999999</v>
      </c>
      <c r="CW255" s="128">
        <v>1.2622599999999999</v>
      </c>
      <c r="CX255" s="98">
        <v>1</v>
      </c>
    </row>
    <row r="256" spans="1:102" s="4" customFormat="1" x14ac:dyDescent="0.25">
      <c r="A256" s="2"/>
      <c r="B256" s="2"/>
      <c r="C256" s="2"/>
      <c r="D256" s="2"/>
      <c r="E256" s="2"/>
      <c r="F256" s="2"/>
      <c r="G256" s="2"/>
      <c r="H256" s="2"/>
      <c r="I256" s="2"/>
      <c r="J256" s="2"/>
      <c r="K256" s="2"/>
      <c r="L256" s="2"/>
      <c r="M256" s="133">
        <v>2024</v>
      </c>
      <c r="N256" s="98" t="s">
        <v>2</v>
      </c>
      <c r="O256" s="36">
        <v>9113.9</v>
      </c>
      <c r="P256" s="35">
        <v>7516</v>
      </c>
      <c r="Q256" s="35">
        <v>1129</v>
      </c>
      <c r="R256" s="35">
        <v>468.9</v>
      </c>
      <c r="S256" s="35">
        <v>6816.7</v>
      </c>
      <c r="T256" s="35">
        <v>1842.1</v>
      </c>
      <c r="U256" s="35">
        <v>455</v>
      </c>
      <c r="V256" s="35">
        <v>5528</v>
      </c>
      <c r="W256" s="35">
        <v>1744.5</v>
      </c>
      <c r="X256" s="35">
        <v>1841.4</v>
      </c>
      <c r="Y256" s="2"/>
      <c r="Z256" s="2"/>
      <c r="AA256" s="133">
        <v>2024</v>
      </c>
      <c r="AB256" s="98" t="s">
        <v>2</v>
      </c>
      <c r="AC256" s="36">
        <v>6490</v>
      </c>
      <c r="AD256" s="35">
        <v>2461</v>
      </c>
      <c r="AE256" s="35">
        <v>3940</v>
      </c>
      <c r="AF256" s="35">
        <v>2698</v>
      </c>
      <c r="AG256" s="35">
        <v>3147</v>
      </c>
      <c r="AH256" s="136">
        <v>645</v>
      </c>
      <c r="AI256" s="2"/>
      <c r="AJ256" s="2"/>
      <c r="AK256" s="2"/>
      <c r="AL256" s="133">
        <v>2024</v>
      </c>
      <c r="AM256" s="98" t="s">
        <v>2</v>
      </c>
      <c r="AN256" s="36">
        <v>2080</v>
      </c>
      <c r="AO256" s="35">
        <v>1030</v>
      </c>
      <c r="AP256" s="35">
        <v>364</v>
      </c>
      <c r="AQ256" s="35">
        <v>194</v>
      </c>
      <c r="AR256" s="35">
        <v>53</v>
      </c>
      <c r="AS256" s="35">
        <v>439</v>
      </c>
      <c r="AT256" s="35">
        <v>945</v>
      </c>
      <c r="AU256" s="35">
        <v>902</v>
      </c>
      <c r="AV256" s="35">
        <v>233</v>
      </c>
      <c r="AW256" s="35">
        <v>1029</v>
      </c>
      <c r="AX256" s="35">
        <v>747</v>
      </c>
      <c r="AY256" s="35">
        <v>304</v>
      </c>
      <c r="AZ256" s="2"/>
      <c r="BA256" s="2"/>
      <c r="BB256" s="2"/>
      <c r="BC256" s="134">
        <v>2024</v>
      </c>
      <c r="BD256" s="98" t="s">
        <v>2</v>
      </c>
      <c r="BE256" s="36">
        <v>8402.6280000000006</v>
      </c>
      <c r="BF256" s="35">
        <v>6552.393</v>
      </c>
      <c r="BG256" s="35">
        <v>1850.2349999999999</v>
      </c>
      <c r="BH256" s="35"/>
      <c r="BI256" s="108">
        <v>0.137603</v>
      </c>
      <c r="BJ256" s="2"/>
      <c r="BK256" s="2"/>
      <c r="BL256" s="133">
        <v>2024</v>
      </c>
      <c r="BM256" s="98" t="s">
        <v>2</v>
      </c>
      <c r="BN256" s="36">
        <v>1763</v>
      </c>
      <c r="BO256" s="35">
        <v>717</v>
      </c>
      <c r="BP256" s="35">
        <v>666</v>
      </c>
      <c r="BQ256" s="35">
        <v>239</v>
      </c>
      <c r="BR256" s="35">
        <v>141</v>
      </c>
      <c r="BS256" s="35">
        <v>1005</v>
      </c>
      <c r="BT256" s="35">
        <v>79</v>
      </c>
      <c r="BU256" s="35">
        <v>679</v>
      </c>
      <c r="BV256" s="35">
        <v>572</v>
      </c>
      <c r="BW256" s="35">
        <v>789</v>
      </c>
      <c r="BX256" s="35">
        <v>402</v>
      </c>
      <c r="BY256" s="2"/>
      <c r="BZ256" s="2"/>
      <c r="CA256" s="2"/>
      <c r="CB256" s="133">
        <v>2024</v>
      </c>
      <c r="CC256" s="98" t="s">
        <v>2</v>
      </c>
      <c r="CD256" s="36">
        <v>904.04</v>
      </c>
      <c r="CE256" s="35">
        <v>2957.3</v>
      </c>
      <c r="CF256" s="35">
        <v>2973.12</v>
      </c>
      <c r="CG256" s="35">
        <v>36906</v>
      </c>
      <c r="CH256" s="36">
        <v>12363</v>
      </c>
      <c r="CI256" s="36">
        <v>22501</v>
      </c>
      <c r="CJ256" s="36">
        <v>1900.6</v>
      </c>
      <c r="CK256" s="36">
        <v>423.92</v>
      </c>
      <c r="CL256" s="36">
        <v>2105</v>
      </c>
      <c r="CM256" s="2"/>
      <c r="CN256" s="2"/>
      <c r="CO256" s="25"/>
      <c r="CP256" s="133">
        <v>2024</v>
      </c>
      <c r="CQ256" s="98" t="s">
        <v>2</v>
      </c>
      <c r="CR256" s="128">
        <v>1.07152</v>
      </c>
      <c r="CS256" s="128">
        <v>6.2157100000000002E-3</v>
      </c>
      <c r="CT256" s="128">
        <v>7.4308999999999996E-4</v>
      </c>
      <c r="CU256" s="128">
        <v>0.137603</v>
      </c>
      <c r="CV256" s="128">
        <v>0.17870800000000001</v>
      </c>
      <c r="CW256" s="128">
        <v>1.26467</v>
      </c>
      <c r="CX256" s="98">
        <v>1</v>
      </c>
    </row>
    <row r="257" spans="1:107" s="4" customFormat="1" x14ac:dyDescent="0.25">
      <c r="A257" s="2"/>
      <c r="B257" s="2"/>
      <c r="C257" s="2"/>
      <c r="D257" s="2"/>
      <c r="E257" s="2"/>
      <c r="F257" s="2"/>
      <c r="G257" s="2"/>
      <c r="H257" s="2"/>
      <c r="I257" s="2"/>
      <c r="J257" s="2"/>
      <c r="K257" s="2"/>
      <c r="L257" s="2"/>
      <c r="M257" s="133">
        <v>2024</v>
      </c>
      <c r="N257" s="98" t="s">
        <v>3</v>
      </c>
      <c r="O257" s="36">
        <v>9074</v>
      </c>
      <c r="P257" s="35">
        <v>7442</v>
      </c>
      <c r="Q257" s="35">
        <v>1129.5</v>
      </c>
      <c r="R257" s="35">
        <v>502.4</v>
      </c>
      <c r="S257" s="35">
        <v>6691.9</v>
      </c>
      <c r="T257" s="35">
        <v>1893.2</v>
      </c>
      <c r="U257" s="35">
        <v>489</v>
      </c>
      <c r="V257" s="35">
        <v>5499.4000000000015</v>
      </c>
      <c r="W257" s="35">
        <v>1664.5999999999995</v>
      </c>
      <c r="X257" s="35">
        <v>1910</v>
      </c>
      <c r="Y257" s="2"/>
      <c r="Z257" s="2"/>
      <c r="AA257" s="133">
        <v>2024</v>
      </c>
      <c r="AB257" s="98" t="s">
        <v>3</v>
      </c>
      <c r="AC257" s="36">
        <v>6874</v>
      </c>
      <c r="AD257" s="35">
        <v>2656</v>
      </c>
      <c r="AE257" s="35">
        <v>4093.4</v>
      </c>
      <c r="AF257" s="136">
        <v>2665.0712999999996</v>
      </c>
      <c r="AG257" s="35">
        <v>3189.9735999999998</v>
      </c>
      <c r="AH257" s="35">
        <v>655.04199999999992</v>
      </c>
      <c r="AI257" s="35"/>
      <c r="AJ257" s="2"/>
      <c r="AK257" s="2"/>
      <c r="AL257" s="133">
        <v>2024</v>
      </c>
      <c r="AM257" s="98" t="s">
        <v>3</v>
      </c>
      <c r="AN257" s="36">
        <v>2291</v>
      </c>
      <c r="AO257" s="35">
        <v>1044</v>
      </c>
      <c r="AP257" s="35">
        <v>362</v>
      </c>
      <c r="AQ257" s="35">
        <v>195</v>
      </c>
      <c r="AR257" s="35">
        <v>53</v>
      </c>
      <c r="AS257" s="35">
        <v>637</v>
      </c>
      <c r="AT257" s="35">
        <v>955</v>
      </c>
      <c r="AU257" s="35">
        <v>1092</v>
      </c>
      <c r="AV257" s="35">
        <v>244</v>
      </c>
      <c r="AW257" s="35">
        <v>1266</v>
      </c>
      <c r="AX257" s="35">
        <v>735</v>
      </c>
      <c r="AY257" s="35">
        <v>290</v>
      </c>
      <c r="AZ257" s="2"/>
      <c r="BA257" s="2"/>
      <c r="BB257" s="2"/>
      <c r="BC257" s="134">
        <v>2024</v>
      </c>
      <c r="BD257" s="98" t="s">
        <v>3</v>
      </c>
      <c r="BE257" s="36">
        <v>10180.766</v>
      </c>
      <c r="BF257" s="35">
        <v>7839.4790000000003</v>
      </c>
      <c r="BG257" s="35">
        <v>2341.2869999999998</v>
      </c>
      <c r="BH257" s="35"/>
      <c r="BI257" s="108">
        <v>0.14263200000000001</v>
      </c>
      <c r="BJ257" s="2"/>
      <c r="BK257" s="2"/>
      <c r="BL257" s="133">
        <v>2024</v>
      </c>
      <c r="BM257" s="98" t="s">
        <v>3</v>
      </c>
      <c r="BN257" s="36">
        <v>1826</v>
      </c>
      <c r="BO257" s="35">
        <v>785</v>
      </c>
      <c r="BP257" s="35">
        <v>666</v>
      </c>
      <c r="BQ257" s="35">
        <v>238</v>
      </c>
      <c r="BR257" s="35">
        <v>137</v>
      </c>
      <c r="BS257" s="35">
        <v>998</v>
      </c>
      <c r="BT257" s="35">
        <v>87</v>
      </c>
      <c r="BU257" s="35">
        <v>741</v>
      </c>
      <c r="BV257" s="35">
        <v>621</v>
      </c>
      <c r="BW257" s="35">
        <v>804</v>
      </c>
      <c r="BX257" s="35">
        <v>401</v>
      </c>
      <c r="BY257" s="2"/>
      <c r="BZ257" s="2"/>
      <c r="CA257" s="2"/>
      <c r="CB257" s="133">
        <v>2024</v>
      </c>
      <c r="CC257" s="98" t="s">
        <v>3</v>
      </c>
      <c r="CD257" s="36">
        <v>865.47</v>
      </c>
      <c r="CE257" s="35">
        <v>2757</v>
      </c>
      <c r="CF257" s="35">
        <v>2793.58</v>
      </c>
      <c r="CG257" s="35">
        <v>38357</v>
      </c>
      <c r="CH257" s="36">
        <v>11854</v>
      </c>
      <c r="CI257" s="36">
        <v>23319</v>
      </c>
      <c r="CJ257" s="36">
        <v>1880.97</v>
      </c>
      <c r="CK257" s="36">
        <v>338.21</v>
      </c>
      <c r="CL257" s="36">
        <v>2313.5</v>
      </c>
      <c r="CM257" s="2"/>
      <c r="CN257" s="2"/>
      <c r="CO257" s="2"/>
      <c r="CP257" s="133">
        <v>2024</v>
      </c>
      <c r="CQ257" s="98" t="s">
        <v>3</v>
      </c>
      <c r="CR257" s="128">
        <v>1.1168899999999999</v>
      </c>
      <c r="CS257" s="128">
        <v>7.0018499999999996E-3</v>
      </c>
      <c r="CT257" s="128">
        <v>7.6325000000000004E-4</v>
      </c>
      <c r="CU257" s="128">
        <v>0.14263200000000001</v>
      </c>
      <c r="CV257" s="128">
        <v>0.184028</v>
      </c>
      <c r="CW257" s="128">
        <v>1.3382799999999999</v>
      </c>
      <c r="CX257" s="98">
        <v>1</v>
      </c>
    </row>
    <row r="258" spans="1:107" s="4" customFormat="1" x14ac:dyDescent="0.25">
      <c r="A258" s="2"/>
      <c r="B258" s="2"/>
      <c r="C258" s="2"/>
      <c r="D258" s="2"/>
      <c r="E258" s="2"/>
      <c r="F258" s="2"/>
      <c r="G258" s="2"/>
      <c r="H258" s="2"/>
      <c r="I258" s="2"/>
      <c r="J258" s="2"/>
      <c r="K258" s="2"/>
      <c r="L258" s="2"/>
      <c r="M258" s="133">
        <v>2024</v>
      </c>
      <c r="N258" s="98" t="s">
        <v>4</v>
      </c>
      <c r="O258" s="36">
        <v>9397.7999999999993</v>
      </c>
      <c r="P258" s="35">
        <v>7785.3</v>
      </c>
      <c r="Q258" s="35">
        <v>1135.7</v>
      </c>
      <c r="R258" s="35">
        <v>476.8</v>
      </c>
      <c r="S258" s="35">
        <v>7071.9</v>
      </c>
      <c r="T258" s="35">
        <v>1871.3</v>
      </c>
      <c r="U258" s="35">
        <v>455</v>
      </c>
      <c r="V258" s="35">
        <v>5678</v>
      </c>
      <c r="W258" s="35">
        <v>1790.4</v>
      </c>
      <c r="X258" s="35">
        <v>1930</v>
      </c>
      <c r="Y258" s="2"/>
      <c r="Z258" s="2"/>
      <c r="AA258" s="133">
        <v>2024</v>
      </c>
      <c r="AB258" s="98" t="s">
        <v>4</v>
      </c>
      <c r="AC258" s="36">
        <v>6388</v>
      </c>
      <c r="AD258" s="35">
        <v>2310</v>
      </c>
      <c r="AE258" s="35">
        <v>3958</v>
      </c>
      <c r="AF258" s="136">
        <v>2408.3316220000002</v>
      </c>
      <c r="AG258" s="35">
        <v>3023.5084880000009</v>
      </c>
      <c r="AH258" s="35">
        <v>569.82882600000016</v>
      </c>
      <c r="AI258" s="35"/>
      <c r="AJ258" s="2"/>
      <c r="AK258" s="2"/>
      <c r="AL258" s="133">
        <v>2024</v>
      </c>
      <c r="AM258" s="98" t="s">
        <v>4</v>
      </c>
      <c r="AN258" s="36">
        <v>2296</v>
      </c>
      <c r="AO258" s="35">
        <v>1027</v>
      </c>
      <c r="AP258" s="35">
        <v>375</v>
      </c>
      <c r="AQ258" s="35">
        <v>201</v>
      </c>
      <c r="AR258" s="35">
        <v>58</v>
      </c>
      <c r="AS258" s="35">
        <v>635</v>
      </c>
      <c r="AT258" s="35">
        <v>928</v>
      </c>
      <c r="AU258" s="35">
        <v>1128</v>
      </c>
      <c r="AV258" s="35">
        <v>240</v>
      </c>
      <c r="AW258" s="35">
        <v>1277</v>
      </c>
      <c r="AX258" s="35">
        <v>796</v>
      </c>
      <c r="AY258" s="35">
        <v>223</v>
      </c>
      <c r="AZ258" s="2"/>
      <c r="BA258" s="2"/>
      <c r="BB258" s="2"/>
      <c r="BC258" s="134">
        <v>2024</v>
      </c>
      <c r="BD258" s="98" t="s">
        <v>4</v>
      </c>
      <c r="BE258" s="36">
        <v>9613.277</v>
      </c>
      <c r="BF258" s="35">
        <v>7567.491</v>
      </c>
      <c r="BG258" s="35">
        <v>2045.7860000000001</v>
      </c>
      <c r="BH258" s="35"/>
      <c r="BI258" s="108">
        <v>0.13700000000000001</v>
      </c>
      <c r="BJ258" s="2"/>
      <c r="BK258" s="2"/>
      <c r="BL258" s="133">
        <v>2024</v>
      </c>
      <c r="BM258" s="98" t="s">
        <v>4</v>
      </c>
      <c r="BN258" s="36">
        <v>2362</v>
      </c>
      <c r="BO258" s="35">
        <v>965</v>
      </c>
      <c r="BP258" s="35">
        <v>930</v>
      </c>
      <c r="BQ258" s="35">
        <v>293</v>
      </c>
      <c r="BR258" s="35">
        <v>174</v>
      </c>
      <c r="BS258" s="35">
        <v>1403</v>
      </c>
      <c r="BT258" s="35">
        <v>76</v>
      </c>
      <c r="BU258" s="35">
        <v>883</v>
      </c>
      <c r="BV258" s="35">
        <v>885</v>
      </c>
      <c r="BW258" s="35">
        <v>945</v>
      </c>
      <c r="BX258" s="35">
        <v>532</v>
      </c>
      <c r="BY258" s="2"/>
      <c r="BZ258" s="2"/>
      <c r="CA258" s="2"/>
      <c r="CB258" s="133">
        <v>2024</v>
      </c>
      <c r="CC258" s="98" t="s">
        <v>4</v>
      </c>
      <c r="CD258" s="36">
        <v>920.96</v>
      </c>
      <c r="CE258" s="35">
        <v>2890</v>
      </c>
      <c r="CF258" s="35">
        <v>2845.31</v>
      </c>
      <c r="CG258" s="35">
        <v>37168</v>
      </c>
      <c r="CH258" s="36">
        <v>11544</v>
      </c>
      <c r="CI258" s="36">
        <v>27784</v>
      </c>
      <c r="CJ258" s="36">
        <v>1812.04</v>
      </c>
      <c r="CK258" s="36">
        <v>342.79</v>
      </c>
      <c r="CL258" s="36">
        <v>2313.5</v>
      </c>
      <c r="CM258" s="2"/>
      <c r="CN258" s="2"/>
      <c r="CO258" s="2"/>
      <c r="CP258" s="133">
        <v>2024</v>
      </c>
      <c r="CQ258" s="98" t="s">
        <v>4</v>
      </c>
      <c r="CR258" s="128">
        <v>1.0409600000000001</v>
      </c>
      <c r="CS258" s="128">
        <v>6.3610899999999998E-3</v>
      </c>
      <c r="CT258" s="128">
        <v>6.7860499999999999E-4</v>
      </c>
      <c r="CU258" s="128">
        <v>0.13700000000000001</v>
      </c>
      <c r="CV258" s="128">
        <v>0.16169700000000001</v>
      </c>
      <c r="CW258" s="128">
        <v>1.2558</v>
      </c>
      <c r="CX258" s="98">
        <v>1</v>
      </c>
    </row>
    <row r="259" spans="1:107" s="4" customFormat="1" x14ac:dyDescent="0.25">
      <c r="A259" s="2"/>
      <c r="B259" s="2"/>
      <c r="C259" s="2"/>
      <c r="D259" s="2"/>
      <c r="E259" s="2"/>
      <c r="F259" s="2"/>
      <c r="G259" s="2"/>
      <c r="H259" s="2"/>
      <c r="I259" s="2"/>
      <c r="J259" s="2"/>
      <c r="K259" s="2"/>
      <c r="L259" s="2"/>
      <c r="M259" s="138">
        <v>2025</v>
      </c>
      <c r="N259" s="98" t="s">
        <v>1</v>
      </c>
      <c r="O259" s="32">
        <v>8761.6</v>
      </c>
      <c r="P259" s="35">
        <v>7285</v>
      </c>
      <c r="Q259" s="35">
        <v>1016</v>
      </c>
      <c r="R259" s="35">
        <v>460.6</v>
      </c>
      <c r="S259" s="35">
        <v>6472.7</v>
      </c>
      <c r="T259" s="35">
        <v>1867.1</v>
      </c>
      <c r="U259" s="35">
        <v>421.8</v>
      </c>
      <c r="V259" s="35">
        <v>5293.6</v>
      </c>
      <c r="W259" s="35">
        <v>1691.9</v>
      </c>
      <c r="X259" s="35">
        <v>1776.1</v>
      </c>
      <c r="Y259" s="2"/>
      <c r="Z259" s="2"/>
      <c r="AA259" s="138">
        <v>2025</v>
      </c>
      <c r="AB259" s="98" t="s">
        <v>1</v>
      </c>
      <c r="AC259" s="31">
        <v>5956</v>
      </c>
      <c r="AD259" s="35">
        <v>2355</v>
      </c>
      <c r="AE259" s="35">
        <v>3723</v>
      </c>
      <c r="AF259" s="136">
        <v>2500.7950000000001</v>
      </c>
      <c r="AG259" s="35">
        <v>2831.0281999999997</v>
      </c>
      <c r="AH259" s="35">
        <v>603.09199999999998</v>
      </c>
      <c r="AI259" s="2"/>
      <c r="AJ259" s="2"/>
      <c r="AK259" s="2"/>
      <c r="AL259" s="138">
        <v>2025</v>
      </c>
      <c r="AM259" s="98" t="s">
        <v>1</v>
      </c>
      <c r="AN259" s="31">
        <v>2109</v>
      </c>
      <c r="AO259" s="35">
        <v>903</v>
      </c>
      <c r="AP259" s="35">
        <v>356</v>
      </c>
      <c r="AQ259" s="35">
        <v>194</v>
      </c>
      <c r="AR259" s="35">
        <v>54</v>
      </c>
      <c r="AS259" s="35">
        <v>602</v>
      </c>
      <c r="AT259" s="35">
        <v>903</v>
      </c>
      <c r="AU259" s="35">
        <v>1036</v>
      </c>
      <c r="AV259" s="35">
        <v>170</v>
      </c>
      <c r="AW259" s="35">
        <v>1169</v>
      </c>
      <c r="AX259" s="35">
        <v>663</v>
      </c>
      <c r="AY259" s="35">
        <v>277</v>
      </c>
      <c r="AZ259" s="2"/>
      <c r="BA259" s="2"/>
      <c r="BB259" s="2"/>
      <c r="BC259" s="139">
        <v>2025</v>
      </c>
      <c r="BD259" s="98" t="s">
        <v>1</v>
      </c>
      <c r="BE259" s="31">
        <v>8865.4110000000001</v>
      </c>
      <c r="BF259" s="35">
        <v>6784.5690000000004</v>
      </c>
      <c r="BG259" s="35">
        <v>2080.8420000000001</v>
      </c>
      <c r="BH259" s="35"/>
      <c r="BI259" s="108">
        <v>0.13768900000000001</v>
      </c>
      <c r="BJ259" s="2"/>
      <c r="BK259" s="2"/>
      <c r="BL259" s="138">
        <v>2025</v>
      </c>
      <c r="BM259" s="98" t="s">
        <v>1</v>
      </c>
      <c r="BN259" s="31">
        <v>1787</v>
      </c>
      <c r="BO259" s="35">
        <v>773</v>
      </c>
      <c r="BP259" s="35">
        <v>657</v>
      </c>
      <c r="BQ259" s="35">
        <v>231</v>
      </c>
      <c r="BR259" s="35">
        <v>126</v>
      </c>
      <c r="BS259" s="35">
        <v>980</v>
      </c>
      <c r="BT259" s="35">
        <v>86</v>
      </c>
      <c r="BU259" s="35">
        <v>721</v>
      </c>
      <c r="BV259" s="35">
        <v>607</v>
      </c>
      <c r="BW259" s="35">
        <v>785</v>
      </c>
      <c r="BX259" s="35">
        <v>395</v>
      </c>
      <c r="BY259" s="2"/>
      <c r="BZ259" s="2"/>
      <c r="CA259" s="2"/>
      <c r="CB259" s="138">
        <v>2025</v>
      </c>
      <c r="CC259" s="98" t="s">
        <v>1</v>
      </c>
      <c r="CD259" s="36">
        <v>927.2</v>
      </c>
      <c r="CE259" s="35">
        <v>3158</v>
      </c>
      <c r="CF259" s="35">
        <v>2875.25</v>
      </c>
      <c r="CG259" s="35">
        <v>36391</v>
      </c>
      <c r="CH259" s="36">
        <v>11129</v>
      </c>
      <c r="CI259" s="36">
        <v>17919</v>
      </c>
      <c r="CJ259" s="36">
        <v>1854.558</v>
      </c>
      <c r="CK259" s="36">
        <v>355.15</v>
      </c>
      <c r="CL259" s="36">
        <v>2522.5</v>
      </c>
      <c r="CM259" s="2"/>
      <c r="CN259" s="2"/>
      <c r="CP259" s="138">
        <v>2025</v>
      </c>
      <c r="CQ259" s="98" t="s">
        <v>1</v>
      </c>
      <c r="CR259" s="117">
        <v>1.0824</v>
      </c>
      <c r="CS259" s="117">
        <v>6.6856299999999997E-3</v>
      </c>
      <c r="CT259" s="117">
        <v>6.8094800000000001E-4</v>
      </c>
      <c r="CU259" s="117">
        <v>0.13768900000000001</v>
      </c>
      <c r="CV259" s="117">
        <v>0.17375099999999999</v>
      </c>
      <c r="CW259" s="117">
        <v>1.2940400000000001</v>
      </c>
      <c r="CX259" s="98">
        <v>1</v>
      </c>
      <c r="CY259" s="98"/>
    </row>
    <row r="260" spans="1:107" s="4" customFormat="1" x14ac:dyDescent="0.25">
      <c r="A260" s="2"/>
      <c r="B260" s="2"/>
      <c r="C260" s="2"/>
      <c r="D260" s="2"/>
      <c r="E260" s="2"/>
      <c r="F260" s="2"/>
      <c r="G260" s="2"/>
      <c r="H260" s="2"/>
      <c r="I260" s="2"/>
      <c r="J260" s="2"/>
      <c r="K260" s="2"/>
      <c r="L260" s="2"/>
      <c r="M260" s="138">
        <v>2025</v>
      </c>
      <c r="N260" s="98" t="s">
        <v>2</v>
      </c>
      <c r="O260" s="31">
        <v>9456</v>
      </c>
      <c r="P260" s="36">
        <v>7812.5</v>
      </c>
      <c r="Q260" s="36">
        <v>1105.5999999999999</v>
      </c>
      <c r="R260" s="36">
        <v>537.9</v>
      </c>
      <c r="S260" s="35">
        <v>6927</v>
      </c>
      <c r="T260" s="35">
        <v>2010.7</v>
      </c>
      <c r="U260" s="35">
        <v>518</v>
      </c>
      <c r="V260" s="35">
        <v>5752</v>
      </c>
      <c r="W260" s="35">
        <v>1787.5</v>
      </c>
      <c r="X260" s="35">
        <v>1916.5</v>
      </c>
      <c r="Y260" s="2"/>
      <c r="Z260" s="2"/>
      <c r="AA260" s="138">
        <v>2025</v>
      </c>
      <c r="AB260" s="98" t="s">
        <v>2</v>
      </c>
      <c r="AC260" s="36">
        <v>6843</v>
      </c>
      <c r="AD260" s="35">
        <v>2458</v>
      </c>
      <c r="AE260" s="35">
        <v>4213</v>
      </c>
      <c r="AF260" s="136">
        <v>2781</v>
      </c>
      <c r="AG260" s="35">
        <v>3462</v>
      </c>
      <c r="AH260" s="35">
        <v>600</v>
      </c>
      <c r="AI260" s="2"/>
      <c r="AJ260" s="2"/>
      <c r="AK260" s="2"/>
      <c r="AL260" s="138">
        <v>2025</v>
      </c>
      <c r="AM260" s="98" t="s">
        <v>2</v>
      </c>
      <c r="AN260" s="36">
        <v>2410</v>
      </c>
      <c r="AO260" s="35">
        <v>1083</v>
      </c>
      <c r="AP260" s="35">
        <v>388</v>
      </c>
      <c r="AQ260" s="35">
        <v>210</v>
      </c>
      <c r="AR260" s="35">
        <v>59</v>
      </c>
      <c r="AS260" s="35">
        <v>670</v>
      </c>
      <c r="AT260" s="35">
        <v>1083</v>
      </c>
      <c r="AU260" s="35">
        <v>1126</v>
      </c>
      <c r="AV260" s="35">
        <v>201</v>
      </c>
      <c r="AW260" s="35">
        <v>1332</v>
      </c>
      <c r="AX260" s="35">
        <v>760</v>
      </c>
      <c r="AY260" s="35">
        <v>318</v>
      </c>
      <c r="AZ260" s="2"/>
      <c r="BA260" s="2"/>
      <c r="BB260" s="2"/>
      <c r="BC260" s="139">
        <v>2025</v>
      </c>
      <c r="BD260" s="98" t="s">
        <v>2</v>
      </c>
      <c r="BE260" s="36">
        <v>12358.74</v>
      </c>
      <c r="BF260" s="35">
        <v>9491.5</v>
      </c>
      <c r="BG260" s="35">
        <v>2867.3</v>
      </c>
      <c r="BH260" s="35"/>
      <c r="BI260" s="108">
        <v>0.139567</v>
      </c>
      <c r="BJ260" s="2"/>
      <c r="BK260" s="2"/>
      <c r="BL260" s="138">
        <v>2025</v>
      </c>
      <c r="BM260" s="98" t="s">
        <v>2</v>
      </c>
      <c r="BN260" s="36">
        <v>1933</v>
      </c>
      <c r="BO260" s="35">
        <v>849</v>
      </c>
      <c r="BP260" s="35">
        <v>711</v>
      </c>
      <c r="BQ260" s="35">
        <v>239</v>
      </c>
      <c r="BR260" s="35">
        <v>134</v>
      </c>
      <c r="BS260" s="35">
        <v>1043</v>
      </c>
      <c r="BT260" s="35">
        <v>82</v>
      </c>
      <c r="BU260" s="35">
        <v>808</v>
      </c>
      <c r="BV260" s="35">
        <v>669</v>
      </c>
      <c r="BW260" s="35">
        <v>835.3</v>
      </c>
      <c r="BX260" s="35">
        <v>428.3</v>
      </c>
      <c r="BY260" s="2"/>
      <c r="BZ260" s="2"/>
      <c r="CA260" s="2"/>
      <c r="CB260" s="138">
        <v>2025</v>
      </c>
      <c r="CC260" s="98" t="s">
        <v>2</v>
      </c>
      <c r="CD260" s="35">
        <v>955.83</v>
      </c>
      <c r="CE260" s="35">
        <v>3271.7</v>
      </c>
      <c r="CF260" s="35">
        <v>3063.39</v>
      </c>
      <c r="CG260" s="35">
        <v>39315</v>
      </c>
      <c r="CH260" s="36">
        <v>12535</v>
      </c>
      <c r="CI260" s="35">
        <v>22726</v>
      </c>
      <c r="CJ260" s="36">
        <v>2111.5929999999998</v>
      </c>
      <c r="CK260" s="36">
        <v>415.81</v>
      </c>
      <c r="CL260" s="36">
        <v>2522.5</v>
      </c>
      <c r="CM260" s="2"/>
      <c r="CN260" s="2"/>
      <c r="CO260" s="2"/>
      <c r="CP260" s="138">
        <v>2025</v>
      </c>
      <c r="CQ260" s="98" t="s">
        <v>2</v>
      </c>
      <c r="CR260" s="108">
        <v>1.1728700000000001</v>
      </c>
      <c r="CS260" s="108">
        <v>6.93298E-3</v>
      </c>
      <c r="CT260" s="108">
        <v>7.38417E-4</v>
      </c>
      <c r="CU260" s="108">
        <v>0.139567</v>
      </c>
      <c r="CV260" s="108">
        <v>0.183168</v>
      </c>
      <c r="CW260" s="108">
        <v>1.37134</v>
      </c>
      <c r="CX260" s="98">
        <v>1</v>
      </c>
      <c r="CY260" s="2"/>
      <c r="CZ260" s="2"/>
    </row>
    <row r="261" spans="1:107" s="4" customFormat="1" x14ac:dyDescent="0.25">
      <c r="A261" s="2"/>
      <c r="B261" s="2"/>
      <c r="C261" s="2"/>
      <c r="D261" s="2"/>
      <c r="E261" s="2"/>
      <c r="F261" s="2"/>
      <c r="G261" s="2"/>
      <c r="H261" s="2"/>
      <c r="I261" s="2"/>
      <c r="J261" s="2"/>
      <c r="K261" s="2"/>
      <c r="L261" s="2"/>
      <c r="M261" s="138">
        <v>2025</v>
      </c>
      <c r="N261" s="98" t="s">
        <v>3</v>
      </c>
      <c r="O261" s="36">
        <v>9569</v>
      </c>
      <c r="P261" s="36">
        <v>7862</v>
      </c>
      <c r="Q261" s="36">
        <v>1093</v>
      </c>
      <c r="R261" s="36">
        <v>614</v>
      </c>
      <c r="S261" s="35">
        <v>6901.5</v>
      </c>
      <c r="T261" s="35">
        <v>2070.9</v>
      </c>
      <c r="U261" s="35">
        <v>597</v>
      </c>
      <c r="V261" s="35">
        <v>5816.3000000000029</v>
      </c>
      <c r="W261" s="35">
        <v>1780.0999999999995</v>
      </c>
      <c r="X261" s="35">
        <v>1972.1</v>
      </c>
      <c r="Y261" s="2"/>
      <c r="Z261" s="2"/>
      <c r="AA261" s="138">
        <v>2025</v>
      </c>
      <c r="AB261" s="98" t="s">
        <v>3</v>
      </c>
      <c r="AC261" s="36">
        <v>7078</v>
      </c>
      <c r="AD261" s="35">
        <v>2563</v>
      </c>
      <c r="AE261" s="35">
        <v>4363</v>
      </c>
      <c r="AF261" s="136">
        <v>2696</v>
      </c>
      <c r="AG261" s="35">
        <v>3606</v>
      </c>
      <c r="AH261" s="35">
        <v>625</v>
      </c>
      <c r="AI261" s="2"/>
      <c r="AJ261" s="2"/>
      <c r="AK261" s="2"/>
      <c r="AL261" s="138">
        <v>2025</v>
      </c>
      <c r="AM261" s="98" t="s">
        <v>3</v>
      </c>
      <c r="AN261" s="36">
        <v>2449</v>
      </c>
      <c r="AO261" s="35">
        <v>1125</v>
      </c>
      <c r="AP261" s="35">
        <v>387</v>
      </c>
      <c r="AQ261" s="35">
        <v>201</v>
      </c>
      <c r="AR261" s="35">
        <v>60</v>
      </c>
      <c r="AS261" s="35">
        <v>676</v>
      </c>
      <c r="AT261" s="35">
        <v>1028</v>
      </c>
      <c r="AU261" s="35">
        <v>1148</v>
      </c>
      <c r="AV261" s="35">
        <v>273</v>
      </c>
      <c r="AW261" s="35">
        <v>1357</v>
      </c>
      <c r="AX261" s="35">
        <v>778</v>
      </c>
      <c r="AY261" s="35">
        <v>314</v>
      </c>
      <c r="AZ261" s="2"/>
      <c r="BA261" s="2"/>
      <c r="BB261" s="2"/>
      <c r="BC261" s="139">
        <v>2025</v>
      </c>
      <c r="BD261" s="98" t="s">
        <v>3</v>
      </c>
      <c r="BE261" s="36">
        <v>15287.11</v>
      </c>
      <c r="BF261" s="35">
        <v>10332</v>
      </c>
      <c r="BG261" s="35">
        <v>4955</v>
      </c>
      <c r="BH261" s="2"/>
      <c r="BI261" s="108">
        <v>0.14043600000000001</v>
      </c>
      <c r="BJ261" s="2"/>
      <c r="BK261" s="2"/>
      <c r="BL261" s="138">
        <v>2025</v>
      </c>
      <c r="BM261" s="98" t="s">
        <v>3</v>
      </c>
      <c r="BN261" s="36">
        <v>1979</v>
      </c>
      <c r="BO261" s="35">
        <v>879</v>
      </c>
      <c r="BP261" s="35">
        <v>730</v>
      </c>
      <c r="BQ261" s="35">
        <v>240</v>
      </c>
      <c r="BR261" s="35">
        <v>130</v>
      </c>
      <c r="BS261" s="35">
        <v>1060</v>
      </c>
      <c r="BT261" s="35">
        <v>93</v>
      </c>
      <c r="BU261" s="35">
        <v>826</v>
      </c>
      <c r="BV261" s="35">
        <v>697</v>
      </c>
      <c r="BW261" s="35">
        <v>857</v>
      </c>
      <c r="BX261" s="35">
        <v>425</v>
      </c>
      <c r="BY261" s="2"/>
      <c r="BZ261" s="2"/>
      <c r="CA261" s="2"/>
      <c r="CB261" s="138">
        <v>2025</v>
      </c>
      <c r="CC261" s="98" t="s">
        <v>3</v>
      </c>
      <c r="CD261" s="35">
        <v>907.23</v>
      </c>
      <c r="CE261" s="35">
        <v>3044.7</v>
      </c>
      <c r="CF261" s="35">
        <v>2793.58</v>
      </c>
      <c r="CG261" s="35">
        <v>40426</v>
      </c>
      <c r="CH261" s="36">
        <v>12455</v>
      </c>
      <c r="CI261" s="35">
        <v>23937</v>
      </c>
      <c r="CJ261" s="36">
        <v>2197.14</v>
      </c>
      <c r="CK261" s="36">
        <v>423.58</v>
      </c>
      <c r="CL261" s="36">
        <v>2438</v>
      </c>
      <c r="CM261" s="2"/>
      <c r="CN261" s="2"/>
      <c r="CO261" s="2"/>
      <c r="CP261" s="138">
        <v>2025</v>
      </c>
      <c r="CQ261" s="98" t="s">
        <v>3</v>
      </c>
      <c r="CR261" s="108">
        <v>1.1731199999999999</v>
      </c>
      <c r="CS261" s="108">
        <v>6.7287400000000004E-3</v>
      </c>
      <c r="CT261" s="108">
        <v>7.1436399999999999E-4</v>
      </c>
      <c r="CU261" s="108">
        <v>0.14043600000000001</v>
      </c>
      <c r="CV261" s="108">
        <v>0.18790100000000001</v>
      </c>
      <c r="CW261" s="108">
        <v>1.34354</v>
      </c>
      <c r="CX261" s="98">
        <v>1</v>
      </c>
      <c r="CY261" s="2"/>
      <c r="CZ261" s="2"/>
    </row>
    <row r="262" spans="1:107" s="4" customFormat="1" x14ac:dyDescent="0.25">
      <c r="A262" s="2"/>
      <c r="B262" s="2"/>
      <c r="C262" s="2"/>
      <c r="D262" s="2"/>
      <c r="E262" s="2"/>
      <c r="F262" s="2"/>
      <c r="G262" s="2"/>
      <c r="H262" s="2"/>
      <c r="I262" s="2"/>
      <c r="J262" s="2"/>
      <c r="K262" s="2"/>
      <c r="L262" s="2"/>
      <c r="M262" s="138">
        <v>2025</v>
      </c>
      <c r="N262" s="98" t="s">
        <v>4</v>
      </c>
      <c r="O262" s="31">
        <v>9915.1</v>
      </c>
      <c r="P262" s="35">
        <v>8188</v>
      </c>
      <c r="Q262" s="35">
        <v>1130.4000000000001</v>
      </c>
      <c r="R262" s="35">
        <v>596.70000000000005</v>
      </c>
      <c r="S262" s="35">
        <v>7280.5</v>
      </c>
      <c r="T262" s="35">
        <v>2064.9</v>
      </c>
      <c r="U262" s="35">
        <v>570</v>
      </c>
      <c r="V262" s="35">
        <v>5944.2</v>
      </c>
      <c r="W262" s="35">
        <v>1881.2</v>
      </c>
      <c r="X262" s="35">
        <v>2089.6999999999998</v>
      </c>
      <c r="Y262" s="2"/>
      <c r="Z262" s="2"/>
      <c r="AA262" s="138">
        <v>2025</v>
      </c>
      <c r="AB262" s="98" t="s">
        <v>4</v>
      </c>
      <c r="AC262" s="31">
        <v>7009</v>
      </c>
      <c r="AD262" s="35">
        <v>2537</v>
      </c>
      <c r="AE262" s="35">
        <v>4311</v>
      </c>
      <c r="AF262" s="136">
        <v>2606</v>
      </c>
      <c r="AG262" s="35">
        <v>3480</v>
      </c>
      <c r="AH262" s="35">
        <v>588</v>
      </c>
      <c r="AI262" s="35"/>
      <c r="AJ262" s="2"/>
      <c r="AK262" s="2"/>
      <c r="AL262" s="138">
        <v>2025</v>
      </c>
      <c r="AM262" s="98" t="s">
        <v>4</v>
      </c>
      <c r="AN262" s="36">
        <v>2466</v>
      </c>
      <c r="AO262" s="35">
        <v>1136</v>
      </c>
      <c r="AP262" s="35">
        <v>383</v>
      </c>
      <c r="AQ262" s="35">
        <v>195</v>
      </c>
      <c r="AR262" s="35">
        <v>59</v>
      </c>
      <c r="AS262" s="35">
        <v>693</v>
      </c>
      <c r="AT262" s="35">
        <v>832</v>
      </c>
      <c r="AU262" s="35">
        <v>1247</v>
      </c>
      <c r="AV262" s="35">
        <v>387</v>
      </c>
      <c r="AW262" s="35">
        <v>1399</v>
      </c>
      <c r="AX262" s="35">
        <v>759</v>
      </c>
      <c r="AY262" s="35">
        <v>308</v>
      </c>
      <c r="AZ262" s="2"/>
      <c r="BA262" s="2"/>
      <c r="BB262" s="2"/>
      <c r="BC262" s="139">
        <v>2025</v>
      </c>
      <c r="BD262" s="98" t="s">
        <v>4</v>
      </c>
      <c r="BE262" s="36">
        <v>12776.83</v>
      </c>
      <c r="BF262" s="35">
        <v>9930.1209999999992</v>
      </c>
      <c r="BG262" s="35">
        <v>2846.712</v>
      </c>
      <c r="BH262" s="2"/>
      <c r="BI262" s="111">
        <v>0.142512</v>
      </c>
      <c r="BJ262" s="2"/>
      <c r="BK262" s="2"/>
      <c r="BL262" s="138">
        <v>2025</v>
      </c>
      <c r="BM262" s="98" t="s">
        <v>4</v>
      </c>
      <c r="BN262" s="36">
        <v>2515</v>
      </c>
      <c r="BO262" s="35">
        <v>1041</v>
      </c>
      <c r="BP262" s="35">
        <v>997</v>
      </c>
      <c r="BQ262" s="35">
        <v>303</v>
      </c>
      <c r="BR262" s="35">
        <v>174</v>
      </c>
      <c r="BS262" s="35">
        <v>1442</v>
      </c>
      <c r="BT262" s="35">
        <v>82</v>
      </c>
      <c r="BU262" s="35">
        <v>991</v>
      </c>
      <c r="BV262" s="35">
        <v>972</v>
      </c>
      <c r="BW262" s="35">
        <v>995.69999999999982</v>
      </c>
      <c r="BX262" s="35">
        <v>547.70000000000005</v>
      </c>
      <c r="BY262" s="2"/>
      <c r="BZ262" s="2"/>
      <c r="CA262" s="2"/>
      <c r="CB262" s="138">
        <v>2025</v>
      </c>
      <c r="CC262" s="98" t="s">
        <v>4</v>
      </c>
      <c r="CD262" s="36">
        <v>961.56</v>
      </c>
      <c r="CE262" s="30">
        <v>3102.1</v>
      </c>
      <c r="CF262" s="30">
        <v>2983.51</v>
      </c>
      <c r="CG262" s="30">
        <v>39996</v>
      </c>
      <c r="CH262" s="36">
        <v>11822</v>
      </c>
      <c r="CI262" s="36">
        <v>29343</v>
      </c>
      <c r="CJ262" s="36">
        <v>2131.0500000000002</v>
      </c>
      <c r="CK262" s="93">
        <v>443.61</v>
      </c>
      <c r="CL262" s="36">
        <v>2438</v>
      </c>
      <c r="CM262" s="2"/>
      <c r="CN262" s="2"/>
      <c r="CO262" s="2"/>
      <c r="CP262" s="138">
        <v>2025</v>
      </c>
      <c r="CQ262" s="98" t="s">
        <v>4</v>
      </c>
      <c r="CR262" s="108">
        <v>1.17466</v>
      </c>
      <c r="CS262" s="108">
        <v>6.39318E-3</v>
      </c>
      <c r="CT262" s="108">
        <v>6.9369699999999996E-4</v>
      </c>
      <c r="CU262" s="108">
        <v>0.142512</v>
      </c>
      <c r="CV262" s="108">
        <v>1.3466499999999999</v>
      </c>
      <c r="CW262" s="108">
        <v>0.18251800000000001</v>
      </c>
      <c r="CX262" s="98">
        <v>1</v>
      </c>
      <c r="CY262" s="2"/>
      <c r="CZ262" s="2"/>
    </row>
    <row r="263" spans="1:107" s="4" customForma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33"/>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row>
    <row r="264" spans="1:107" s="4" customForma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33"/>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row>
    <row r="265" spans="1:107" s="4" customForma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33"/>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row>
    <row r="266" spans="1:107" s="4" customForma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33"/>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row>
    <row r="267" spans="1:107" s="4" customFormat="1" x14ac:dyDescent="0.3">
      <c r="A267" s="2"/>
      <c r="B267" s="2"/>
      <c r="C267" s="2"/>
      <c r="D267" s="2"/>
      <c r="E267" s="2"/>
      <c r="F267" s="2"/>
      <c r="G267" s="2"/>
      <c r="H267" s="2"/>
      <c r="I267" s="2"/>
      <c r="J267" s="2"/>
      <c r="K267" s="2"/>
      <c r="L267" s="2"/>
      <c r="M267" s="2"/>
      <c r="N267" s="2"/>
      <c r="O267" s="86" t="s">
        <v>310</v>
      </c>
      <c r="P267" s="2"/>
      <c r="Q267" s="2"/>
      <c r="R267" s="2"/>
      <c r="S267" s="2"/>
      <c r="T267" s="2"/>
      <c r="U267" s="2"/>
      <c r="V267" s="140" t="s">
        <v>338</v>
      </c>
      <c r="W267" s="140"/>
      <c r="X267" s="2"/>
      <c r="Y267" s="2" t="s">
        <v>310</v>
      </c>
      <c r="Z267" s="2"/>
      <c r="AA267" s="2"/>
      <c r="AB267" s="2" t="str">
        <f>R269</f>
        <v>LUCKIN (US$)</v>
      </c>
      <c r="AC267" s="2" t="str">
        <f>S269</f>
        <v>McDONALDS</v>
      </c>
      <c r="AD267" s="2" t="str">
        <f>T269</f>
        <v>REST BRANDS</v>
      </c>
      <c r="AE267" s="2" t="s">
        <v>315</v>
      </c>
      <c r="AF267" s="2" t="s">
        <v>316</v>
      </c>
      <c r="AG267" s="2"/>
      <c r="AH267" s="33"/>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row>
    <row r="268" spans="1:107" s="4" customFormat="1" x14ac:dyDescent="0.3">
      <c r="A268" s="2"/>
      <c r="B268" s="2"/>
      <c r="C268" s="2"/>
      <c r="D268" s="2"/>
      <c r="E268" s="2"/>
      <c r="F268" s="2"/>
      <c r="G268" s="2"/>
      <c r="H268" s="2"/>
      <c r="I268" s="2"/>
      <c r="J268" s="2"/>
      <c r="K268" s="2"/>
      <c r="L268" s="2"/>
      <c r="M268" s="2"/>
      <c r="N268" s="98">
        <f>ROW()</f>
        <v>268</v>
      </c>
      <c r="O268" s="141" t="s">
        <v>43</v>
      </c>
      <c r="P268" s="98"/>
      <c r="Q268" s="98"/>
      <c r="R268" s="142" t="s">
        <v>43</v>
      </c>
      <c r="S268" s="127" t="s">
        <v>43</v>
      </c>
      <c r="T268" s="134" t="s">
        <v>43</v>
      </c>
      <c r="U268" s="132" t="s">
        <v>43</v>
      </c>
      <c r="V268" s="143" t="s">
        <v>328</v>
      </c>
      <c r="W268" s="144" t="s">
        <v>303</v>
      </c>
      <c r="X268" s="2"/>
      <c r="Y268" s="145" t="str">
        <f>O268</f>
        <v>Quarterly</v>
      </c>
      <c r="Z268" s="2"/>
      <c r="AA268" s="2"/>
      <c r="AB268" s="146" t="str">
        <f>R268</f>
        <v>Quarterly</v>
      </c>
      <c r="AC268" s="147" t="str">
        <f>S268</f>
        <v>Quarterly</v>
      </c>
      <c r="AD268" s="148" t="str">
        <f>T268</f>
        <v>Quarterly</v>
      </c>
      <c r="AE268" s="149" t="str">
        <f>U268</f>
        <v>Quarterly</v>
      </c>
      <c r="AF268" s="150" t="str">
        <f>V268</f>
        <v>JDE PEETS (EUR)</v>
      </c>
      <c r="AG268" s="2"/>
      <c r="AH268" s="2"/>
      <c r="AI268" s="2"/>
      <c r="AJ268" s="33"/>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row>
    <row r="269" spans="1:107" s="4" customFormat="1" x14ac:dyDescent="0.3">
      <c r="A269" s="2"/>
      <c r="B269" s="2"/>
      <c r="C269" s="2"/>
      <c r="D269" s="2"/>
      <c r="E269" s="2"/>
      <c r="F269" s="2"/>
      <c r="G269" s="2"/>
      <c r="H269" s="2"/>
      <c r="I269" s="2"/>
      <c r="J269" s="2"/>
      <c r="K269" s="2"/>
      <c r="L269" s="98" t="s">
        <v>339</v>
      </c>
      <c r="M269" s="2"/>
      <c r="N269" s="2"/>
      <c r="O269" s="98" t="s">
        <v>340</v>
      </c>
      <c r="P269" s="98" t="s">
        <v>341</v>
      </c>
      <c r="Q269" s="98" t="s">
        <v>342</v>
      </c>
      <c r="R269" s="86" t="s">
        <v>343</v>
      </c>
      <c r="S269" s="86" t="s">
        <v>312</v>
      </c>
      <c r="T269" s="86" t="s">
        <v>313</v>
      </c>
      <c r="U269" s="86" t="s">
        <v>315</v>
      </c>
      <c r="V269" s="8" t="str">
        <f>"OTHERS"&amp;" - "&amp;V268</f>
        <v>OTHERS - JDE PEETS (EUR)</v>
      </c>
      <c r="W269" s="98" t="s">
        <v>344</v>
      </c>
      <c r="X269" s="2"/>
      <c r="Y269" s="2"/>
      <c r="Z269" s="2"/>
      <c r="AA269" s="2"/>
      <c r="AB269" s="2"/>
      <c r="AC269" s="2"/>
      <c r="AD269" s="2"/>
      <c r="AE269" s="2"/>
      <c r="AF269" s="2"/>
      <c r="AG269" s="2"/>
      <c r="AH269" s="2"/>
      <c r="AI269" s="2"/>
      <c r="AJ269" s="33"/>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row>
    <row r="270" spans="1:107" s="4" customFormat="1" x14ac:dyDescent="0.25">
      <c r="A270" s="2"/>
      <c r="B270" s="2"/>
      <c r="C270" s="2"/>
      <c r="D270" s="2"/>
      <c r="E270" s="2"/>
      <c r="F270" s="2"/>
      <c r="G270" s="2"/>
      <c r="H270" s="2"/>
      <c r="I270" s="2"/>
      <c r="J270" s="2"/>
      <c r="K270" s="2"/>
      <c r="L270" s="98">
        <v>2</v>
      </c>
      <c r="M270" s="123" t="s">
        <v>332</v>
      </c>
      <c r="N270" s="98" t="s">
        <v>1</v>
      </c>
      <c r="O270" s="30">
        <f>HLOOKUP($O$268,$O$230:$X$262,L270,FALSE)</f>
        <v>6031.8</v>
      </c>
      <c r="P270" s="30"/>
      <c r="Q270" s="30"/>
      <c r="R270" s="30">
        <f>HLOOKUP($R$268,$BE$230:$BH$262,L270,FALSE)*BI231</f>
        <v>0</v>
      </c>
      <c r="S270" s="30">
        <f>HLOOKUP($S$268,$AC$230:$AI$262,L270,FALSE)</f>
        <v>5139</v>
      </c>
      <c r="T270" s="30">
        <f>HLOOKUP($T$268,$AN$230:$AZ$262,L270,FALSE)</f>
        <v>1254</v>
      </c>
      <c r="U270" s="30">
        <f>HLOOKUP($U$268,$BN$230:$BY$262,L270,FALSE)</f>
        <v>1371</v>
      </c>
      <c r="V270" s="30">
        <f>HLOOKUP($V$268,$CD$230:$CM$262,L270,FALSE)*W270</f>
        <v>948.40899999999999</v>
      </c>
      <c r="W270" s="151">
        <f>HLOOKUP($W$268,$CR$230:$CX$262,ROW()-$N$268,FALSE)</f>
        <v>1.2317</v>
      </c>
      <c r="X270" s="30"/>
      <c r="Y270" s="2"/>
      <c r="Z270" s="2"/>
      <c r="AA270" s="2"/>
      <c r="AB270" s="2"/>
      <c r="AC270" s="2"/>
      <c r="AD270" s="2"/>
      <c r="AE270" s="2"/>
      <c r="AF270" s="2"/>
      <c r="AG270" s="2"/>
      <c r="AH270" s="2"/>
      <c r="AI270" s="2"/>
      <c r="AJ270" s="33"/>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row>
    <row r="271" spans="1:107" s="4" customFormat="1" x14ac:dyDescent="0.25">
      <c r="A271" s="2"/>
      <c r="B271" s="2"/>
      <c r="C271" s="2"/>
      <c r="D271" s="2"/>
      <c r="E271" s="2"/>
      <c r="F271" s="2"/>
      <c r="G271" s="2"/>
      <c r="H271" s="2"/>
      <c r="I271" s="2"/>
      <c r="J271" s="2"/>
      <c r="K271" s="2"/>
      <c r="L271" s="98">
        <v>3</v>
      </c>
      <c r="M271" s="123" t="s">
        <v>332</v>
      </c>
      <c r="N271" s="98" t="s">
        <v>2</v>
      </c>
      <c r="O271" s="30">
        <f t="shared" ref="O271:O277" si="106">HLOOKUP($O$268,$O$230:$X$262,L271,FALSE)</f>
        <v>6310.3</v>
      </c>
      <c r="P271" s="30"/>
      <c r="Q271" s="30"/>
      <c r="R271" s="30">
        <f t="shared" ref="R271:R301" si="107">HLOOKUP($R$268,$BE$230:$BH$262,L271,FALSE)*BI232</f>
        <v>0</v>
      </c>
      <c r="S271" s="30">
        <f t="shared" ref="S271:S301" si="108">HLOOKUP($S$268,$AC$230:$AI$262,L271,FALSE)</f>
        <v>5354</v>
      </c>
      <c r="T271" s="30">
        <f t="shared" ref="T271:T301" si="109">HLOOKUP($T$268,$AN$230:$AZ$262,L271,FALSE)</f>
        <v>1343</v>
      </c>
      <c r="U271" s="30">
        <f t="shared" ref="U271:U301" si="110">HLOOKUP($U$268,$BN$230:$BY$262,L271,FALSE)</f>
        <v>1368</v>
      </c>
      <c r="V271" s="30">
        <f t="shared" ref="V271:V301" si="111">HLOOKUP($V$268,$CD$230:$CM$262,L271,FALSE)*W271</f>
        <v>899.66800000000012</v>
      </c>
      <c r="W271" s="151">
        <f t="shared" ref="W271:W301" si="112">HLOOKUP($W$268,$CR$230:$CX$262,ROW()-$N$268,FALSE)</f>
        <v>1.1684000000000001</v>
      </c>
      <c r="X271" s="30"/>
      <c r="Y271" s="2"/>
      <c r="Z271" s="2"/>
      <c r="AA271" s="2"/>
      <c r="AB271" s="2"/>
      <c r="AC271" s="2"/>
      <c r="AD271" s="2"/>
      <c r="AE271" s="2"/>
      <c r="AF271" s="2"/>
      <c r="AG271" s="2"/>
      <c r="AH271" s="2"/>
      <c r="AI271" s="2"/>
      <c r="AJ271" s="33"/>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row>
    <row r="272" spans="1:107" s="4" customFormat="1" x14ac:dyDescent="0.25">
      <c r="A272" s="2"/>
      <c r="B272" s="2"/>
      <c r="C272" s="2"/>
      <c r="D272" s="2"/>
      <c r="E272" s="2"/>
      <c r="F272" s="2"/>
      <c r="G272" s="2"/>
      <c r="H272" s="2"/>
      <c r="I272" s="2"/>
      <c r="J272" s="2"/>
      <c r="K272" s="2"/>
      <c r="L272" s="98">
        <v>4</v>
      </c>
      <c r="M272" s="123" t="s">
        <v>332</v>
      </c>
      <c r="N272" s="98" t="s">
        <v>3</v>
      </c>
      <c r="O272" s="30">
        <f t="shared" si="106"/>
        <v>6303.6</v>
      </c>
      <c r="P272" s="30"/>
      <c r="Q272" s="30"/>
      <c r="R272" s="30">
        <f t="shared" si="107"/>
        <v>0</v>
      </c>
      <c r="S272" s="30">
        <f t="shared" si="108"/>
        <v>5369</v>
      </c>
      <c r="T272" s="30">
        <f t="shared" si="109"/>
        <v>1375</v>
      </c>
      <c r="U272" s="30">
        <f t="shared" si="110"/>
        <v>1391</v>
      </c>
      <c r="V272" s="30">
        <f t="shared" si="111"/>
        <v>962.79984999999988</v>
      </c>
      <c r="W272" s="151">
        <f t="shared" si="112"/>
        <v>1.1620999999999999</v>
      </c>
      <c r="X272" s="30"/>
      <c r="Y272" s="2"/>
      <c r="Z272" s="2"/>
      <c r="AA272" s="2"/>
      <c r="AB272" s="2"/>
      <c r="AC272" s="2"/>
      <c r="AD272" s="2"/>
      <c r="AE272" s="2"/>
      <c r="AF272" s="2"/>
      <c r="AG272" s="2"/>
      <c r="AH272" s="2"/>
      <c r="AI272" s="2"/>
      <c r="AJ272" s="33"/>
      <c r="AK272" s="2"/>
      <c r="AL272" s="2"/>
      <c r="AM272" s="2"/>
      <c r="AN272" s="2"/>
      <c r="AO272" s="2"/>
    </row>
    <row r="273" spans="1:41" s="4" customFormat="1" x14ac:dyDescent="0.25">
      <c r="A273" s="2"/>
      <c r="B273" s="2"/>
      <c r="C273" s="2"/>
      <c r="D273" s="2"/>
      <c r="E273" s="2"/>
      <c r="F273" s="2"/>
      <c r="G273" s="2"/>
      <c r="H273" s="2"/>
      <c r="I273" s="2"/>
      <c r="J273" s="2"/>
      <c r="K273" s="2"/>
      <c r="L273" s="98">
        <v>5</v>
      </c>
      <c r="M273" s="123" t="s">
        <v>332</v>
      </c>
      <c r="N273" s="98" t="s">
        <v>4</v>
      </c>
      <c r="O273" s="30">
        <f t="shared" si="106"/>
        <v>6632.7</v>
      </c>
      <c r="P273" s="30"/>
      <c r="Q273" s="30"/>
      <c r="R273" s="30">
        <f t="shared" si="107"/>
        <v>67.667849146579044</v>
      </c>
      <c r="S273" s="30">
        <f t="shared" si="108"/>
        <v>5163</v>
      </c>
      <c r="T273" s="30">
        <f t="shared" si="109"/>
        <v>1384.5</v>
      </c>
      <c r="U273" s="30">
        <f t="shared" si="110"/>
        <v>1558</v>
      </c>
      <c r="V273" s="30">
        <f t="shared" si="111"/>
        <v>944.15859999999998</v>
      </c>
      <c r="W273" s="151">
        <f t="shared" si="112"/>
        <v>1.1395999999999999</v>
      </c>
      <c r="X273" s="30"/>
      <c r="Y273" s="2"/>
      <c r="Z273" s="2"/>
      <c r="AA273" s="2"/>
      <c r="AB273" s="2"/>
      <c r="AC273" s="2"/>
      <c r="AD273" s="2"/>
      <c r="AE273" s="2"/>
      <c r="AF273" s="2"/>
      <c r="AG273" s="2"/>
      <c r="AH273" s="2"/>
      <c r="AI273" s="2"/>
      <c r="AJ273" s="33"/>
      <c r="AK273" s="2"/>
      <c r="AL273" s="2"/>
      <c r="AM273" s="2"/>
      <c r="AN273" s="2"/>
      <c r="AO273" s="2"/>
    </row>
    <row r="274" spans="1:41" s="4" customFormat="1" x14ac:dyDescent="0.25">
      <c r="A274" s="2"/>
      <c r="B274" s="2"/>
      <c r="C274" s="2"/>
      <c r="D274" s="2"/>
      <c r="E274" s="2"/>
      <c r="F274" s="2"/>
      <c r="G274" s="2"/>
      <c r="H274" s="2"/>
      <c r="I274" s="2"/>
      <c r="J274" s="2"/>
      <c r="K274" s="2"/>
      <c r="L274" s="98">
        <v>6</v>
      </c>
      <c r="M274" s="123" t="s">
        <v>333</v>
      </c>
      <c r="N274" s="98" t="s">
        <v>1</v>
      </c>
      <c r="O274" s="30">
        <f t="shared" si="106"/>
        <v>6305.9</v>
      </c>
      <c r="P274" s="30"/>
      <c r="Q274" s="30"/>
      <c r="R274" s="30">
        <f t="shared" si="107"/>
        <v>71.290654191683714</v>
      </c>
      <c r="S274" s="30">
        <f t="shared" si="108"/>
        <v>4955.6000000000004</v>
      </c>
      <c r="T274" s="30">
        <f t="shared" si="109"/>
        <v>1266</v>
      </c>
      <c r="U274" s="30">
        <f t="shared" si="110"/>
        <v>1254</v>
      </c>
      <c r="V274" s="30">
        <f t="shared" si="111"/>
        <v>1871.2511999999999</v>
      </c>
      <c r="W274" s="151">
        <f t="shared" si="112"/>
        <v>1.1232</v>
      </c>
      <c r="X274" s="30"/>
      <c r="Y274" s="2"/>
      <c r="Z274" s="2"/>
      <c r="AA274" s="2"/>
      <c r="AB274" s="2"/>
      <c r="AC274" s="2"/>
      <c r="AD274" s="2"/>
      <c r="AE274" s="2"/>
      <c r="AF274" s="2"/>
      <c r="AG274" s="2"/>
      <c r="AH274" s="2"/>
      <c r="AI274" s="2"/>
      <c r="AJ274" s="33"/>
      <c r="AK274" s="2"/>
      <c r="AL274" s="2"/>
      <c r="AM274" s="2"/>
      <c r="AN274" s="2"/>
      <c r="AO274" s="2"/>
    </row>
    <row r="275" spans="1:41" s="4" customFormat="1" x14ac:dyDescent="0.25">
      <c r="A275" s="2"/>
      <c r="B275" s="2"/>
      <c r="C275" s="2"/>
      <c r="D275" s="2"/>
      <c r="E275" s="2"/>
      <c r="F275" s="2"/>
      <c r="G275" s="2"/>
      <c r="H275" s="2"/>
      <c r="I275" s="2"/>
      <c r="J275" s="2"/>
      <c r="K275" s="2"/>
      <c r="L275" s="98">
        <v>7</v>
      </c>
      <c r="M275" s="123" t="s">
        <v>333</v>
      </c>
      <c r="N275" s="98" t="s">
        <v>2</v>
      </c>
      <c r="O275" s="30">
        <f t="shared" si="106"/>
        <v>6823</v>
      </c>
      <c r="P275" s="30"/>
      <c r="Q275" s="30"/>
      <c r="R275" s="30">
        <f t="shared" si="107"/>
        <v>95.152618395759305</v>
      </c>
      <c r="S275" s="30">
        <f t="shared" si="108"/>
        <v>5341.3</v>
      </c>
      <c r="T275" s="30">
        <f t="shared" si="109"/>
        <v>1400</v>
      </c>
      <c r="U275" s="30">
        <f t="shared" si="110"/>
        <v>1310</v>
      </c>
      <c r="V275" s="30">
        <f t="shared" si="111"/>
        <v>1897.4074000000001</v>
      </c>
      <c r="W275" s="151">
        <f t="shared" si="112"/>
        <v>1.1389</v>
      </c>
      <c r="X275" s="30"/>
      <c r="Y275" s="2"/>
      <c r="Z275" s="2"/>
      <c r="AA275" s="2"/>
      <c r="AB275" s="2"/>
      <c r="AC275" s="2"/>
      <c r="AD275" s="2"/>
      <c r="AE275" s="2"/>
      <c r="AF275" s="2"/>
      <c r="AG275" s="2"/>
      <c r="AH275" s="2"/>
      <c r="AI275" s="2"/>
      <c r="AJ275" s="33"/>
      <c r="AK275" s="2"/>
      <c r="AL275" s="2"/>
      <c r="AM275" s="2"/>
      <c r="AN275" s="2"/>
      <c r="AO275" s="2"/>
    </row>
    <row r="276" spans="1:41" s="4" customFormat="1" x14ac:dyDescent="0.25">
      <c r="A276" s="2"/>
      <c r="B276" s="2"/>
      <c r="C276" s="2"/>
      <c r="D276" s="2"/>
      <c r="E276" s="2"/>
      <c r="F276" s="2"/>
      <c r="G276" s="2"/>
      <c r="H276" s="2"/>
      <c r="I276" s="2"/>
      <c r="J276" s="2"/>
      <c r="K276" s="2"/>
      <c r="L276" s="98">
        <v>8</v>
      </c>
      <c r="M276" s="123" t="s">
        <v>333</v>
      </c>
      <c r="N276" s="98" t="s">
        <v>3</v>
      </c>
      <c r="O276" s="30">
        <f t="shared" si="106"/>
        <v>6747</v>
      </c>
      <c r="P276" s="30"/>
      <c r="Q276" s="30"/>
      <c r="R276" s="30">
        <f t="shared" si="107"/>
        <v>118.37493682259785</v>
      </c>
      <c r="S276" s="30">
        <f t="shared" si="108"/>
        <v>5430.6</v>
      </c>
      <c r="T276" s="30">
        <f t="shared" si="109"/>
        <v>1458</v>
      </c>
      <c r="U276" s="30">
        <f t="shared" si="110"/>
        <v>1339</v>
      </c>
      <c r="V276" s="30">
        <f t="shared" si="111"/>
        <v>1983.5370000000003</v>
      </c>
      <c r="W276" s="151">
        <f t="shared" si="112"/>
        <v>1.0980000000000001</v>
      </c>
      <c r="X276" s="30"/>
      <c r="Y276" s="2"/>
      <c r="Z276" s="2"/>
      <c r="AA276" s="2"/>
      <c r="AB276" s="2"/>
      <c r="AC276" s="2"/>
      <c r="AD276" s="2"/>
      <c r="AE276" s="2"/>
      <c r="AF276" s="2"/>
      <c r="AG276" s="2"/>
      <c r="AH276" s="2"/>
      <c r="AI276" s="2"/>
      <c r="AJ276" s="33"/>
      <c r="AK276" s="2"/>
      <c r="AL276" s="2"/>
      <c r="AM276" s="2"/>
      <c r="AN276" s="2"/>
      <c r="AO276" s="2"/>
    </row>
    <row r="277" spans="1:41" s="4" customFormat="1" x14ac:dyDescent="0.25">
      <c r="A277" s="2"/>
      <c r="B277" s="2"/>
      <c r="C277" s="2"/>
      <c r="D277" s="2"/>
      <c r="E277" s="2"/>
      <c r="F277" s="2"/>
      <c r="G277" s="2"/>
      <c r="H277" s="2"/>
      <c r="I277" s="2"/>
      <c r="J277" s="2"/>
      <c r="K277" s="2"/>
      <c r="L277" s="98">
        <v>9</v>
      </c>
      <c r="M277" s="123" t="s">
        <v>333</v>
      </c>
      <c r="N277" s="98" t="s">
        <v>4</v>
      </c>
      <c r="O277" s="30">
        <f t="shared" si="106"/>
        <v>7097.1</v>
      </c>
      <c r="P277" s="30">
        <f>O277</f>
        <v>7097.1</v>
      </c>
      <c r="Q277" s="30"/>
      <c r="R277" s="30">
        <f t="shared" si="107"/>
        <v>150.72414040628814</v>
      </c>
      <c r="S277" s="30">
        <f t="shared" si="108"/>
        <v>5349</v>
      </c>
      <c r="T277" s="30">
        <f t="shared" si="109"/>
        <v>1479</v>
      </c>
      <c r="U277" s="30">
        <f t="shared" si="110"/>
        <v>1694</v>
      </c>
      <c r="V277" s="30">
        <f t="shared" si="111"/>
        <v>2016.0540000000001</v>
      </c>
      <c r="W277" s="151">
        <f t="shared" si="112"/>
        <v>1.1160000000000001</v>
      </c>
      <c r="X277" s="30"/>
      <c r="Y277" s="2"/>
      <c r="Z277" s="2"/>
      <c r="AA277" s="2"/>
      <c r="AB277" s="2"/>
      <c r="AC277" s="2"/>
      <c r="AD277" s="2"/>
      <c r="AE277" s="2"/>
      <c r="AF277" s="2"/>
      <c r="AG277" s="2"/>
      <c r="AH277" s="2"/>
      <c r="AI277" s="2"/>
      <c r="AJ277" s="33"/>
      <c r="AK277" s="2"/>
      <c r="AL277" s="2"/>
      <c r="AM277" s="2"/>
      <c r="AN277" s="2"/>
      <c r="AO277" s="2"/>
    </row>
    <row r="278" spans="1:41" s="4" customFormat="1" x14ac:dyDescent="0.25">
      <c r="A278" s="2"/>
      <c r="B278" s="2"/>
      <c r="C278" s="2"/>
      <c r="D278" s="2"/>
      <c r="E278" s="2"/>
      <c r="F278" s="2"/>
      <c r="G278" s="2"/>
      <c r="H278" s="2"/>
      <c r="I278" s="2"/>
      <c r="J278" s="2"/>
      <c r="K278" s="2"/>
      <c r="L278" s="98">
        <v>10</v>
      </c>
      <c r="M278" s="131" t="s">
        <v>334</v>
      </c>
      <c r="N278" s="98" t="s">
        <v>1</v>
      </c>
      <c r="O278" s="30"/>
      <c r="P278" s="30">
        <f>HLOOKUP($O$268,$O$230:$X$262,L278,FALSE)</f>
        <v>5995.7</v>
      </c>
      <c r="Q278" s="30"/>
      <c r="R278" s="30">
        <f t="shared" si="107"/>
        <v>108.88689141745273</v>
      </c>
      <c r="S278" s="30">
        <f t="shared" si="108"/>
        <v>4714.3999999999996</v>
      </c>
      <c r="T278" s="30">
        <f t="shared" si="109"/>
        <v>1225</v>
      </c>
      <c r="U278" s="30">
        <f t="shared" si="110"/>
        <v>1263</v>
      </c>
      <c r="V278" s="30">
        <f t="shared" si="111"/>
        <v>1748.249</v>
      </c>
      <c r="W278" s="151">
        <f t="shared" si="112"/>
        <v>1.0805</v>
      </c>
      <c r="X278" s="30"/>
      <c r="Y278" s="2"/>
      <c r="Z278" s="2"/>
      <c r="AA278" s="2"/>
      <c r="AB278" s="2"/>
      <c r="AC278" s="2"/>
      <c r="AD278" s="2"/>
      <c r="AE278" s="2"/>
      <c r="AF278" s="2"/>
      <c r="AG278" s="2"/>
      <c r="AH278" s="2"/>
      <c r="AI278" s="2"/>
      <c r="AJ278" s="33"/>
      <c r="AK278" s="2"/>
      <c r="AL278" s="2"/>
      <c r="AM278" s="2"/>
      <c r="AN278" s="2"/>
      <c r="AO278" s="2"/>
    </row>
    <row r="279" spans="1:41" s="4" customFormat="1" x14ac:dyDescent="0.25">
      <c r="A279" s="2"/>
      <c r="B279" s="2"/>
      <c r="C279" s="2"/>
      <c r="D279" s="2"/>
      <c r="E279" s="2"/>
      <c r="F279" s="2"/>
      <c r="G279" s="2"/>
      <c r="H279" s="2"/>
      <c r="I279" s="2"/>
      <c r="J279" s="2"/>
      <c r="K279" s="2"/>
      <c r="L279" s="98">
        <v>11</v>
      </c>
      <c r="M279" s="131" t="s">
        <v>334</v>
      </c>
      <c r="N279" s="98" t="s">
        <v>2</v>
      </c>
      <c r="O279" s="30"/>
      <c r="P279" s="30">
        <f t="shared" ref="P279:P281" si="113">HLOOKUP($O$268,$O$230:$X$262,L279,FALSE)</f>
        <v>4222.1000000000004</v>
      </c>
      <c r="Q279" s="30"/>
      <c r="R279" s="30">
        <f t="shared" si="107"/>
        <v>109.28598720706442</v>
      </c>
      <c r="S279" s="30">
        <f t="shared" si="108"/>
        <v>3761.5</v>
      </c>
      <c r="T279" s="30">
        <f t="shared" si="109"/>
        <v>1048</v>
      </c>
      <c r="U279" s="30">
        <f t="shared" si="110"/>
        <v>1198</v>
      </c>
      <c r="V279" s="30">
        <f t="shared" si="111"/>
        <v>1819.441</v>
      </c>
      <c r="W279" s="151">
        <f t="shared" si="112"/>
        <v>1.1245000000000001</v>
      </c>
      <c r="X279" s="30"/>
      <c r="Y279" s="2"/>
      <c r="Z279" s="2"/>
      <c r="AA279" s="2"/>
      <c r="AB279" s="2"/>
      <c r="AC279" s="2"/>
      <c r="AD279" s="2"/>
      <c r="AE279" s="2"/>
      <c r="AF279" s="2"/>
      <c r="AG279" s="2"/>
      <c r="AH279" s="2"/>
      <c r="AI279" s="2"/>
      <c r="AJ279" s="33"/>
      <c r="AK279" s="2"/>
      <c r="AL279" s="2"/>
      <c r="AM279" s="2"/>
      <c r="AN279" s="2"/>
      <c r="AO279" s="2"/>
    </row>
    <row r="280" spans="1:41" s="4" customFormat="1" x14ac:dyDescent="0.25">
      <c r="A280" s="2"/>
      <c r="B280" s="2"/>
      <c r="C280" s="2"/>
      <c r="D280" s="2"/>
      <c r="E280" s="2"/>
      <c r="F280" s="2"/>
      <c r="G280" s="2"/>
      <c r="H280" s="2"/>
      <c r="I280" s="2"/>
      <c r="J280" s="2"/>
      <c r="K280" s="2"/>
      <c r="L280" s="98">
        <v>12</v>
      </c>
      <c r="M280" s="131" t="s">
        <v>334</v>
      </c>
      <c r="N280" s="98" t="s">
        <v>3</v>
      </c>
      <c r="O280" s="30"/>
      <c r="P280" s="30">
        <f t="shared" si="113"/>
        <v>6203.1</v>
      </c>
      <c r="Q280" s="30"/>
      <c r="R280" s="30">
        <f t="shared" si="107"/>
        <v>168.31686521668703</v>
      </c>
      <c r="S280" s="30">
        <f t="shared" si="108"/>
        <v>5418.1</v>
      </c>
      <c r="T280" s="30">
        <f t="shared" si="109"/>
        <v>1337</v>
      </c>
      <c r="U280" s="30">
        <f t="shared" si="110"/>
        <v>1448</v>
      </c>
      <c r="V280" s="30">
        <f t="shared" si="111"/>
        <v>2000.6777499999998</v>
      </c>
      <c r="W280" s="151">
        <f t="shared" si="112"/>
        <v>1.1717</v>
      </c>
      <c r="X280" s="30"/>
      <c r="Y280" s="2"/>
      <c r="Z280" s="2"/>
      <c r="AA280" s="2"/>
      <c r="AB280" s="2"/>
      <c r="AC280" s="2"/>
      <c r="AD280" s="2"/>
      <c r="AE280" s="2"/>
      <c r="AF280" s="2"/>
      <c r="AG280" s="2"/>
      <c r="AH280" s="2"/>
      <c r="AI280" s="2"/>
      <c r="AJ280" s="33"/>
      <c r="AK280" s="2"/>
      <c r="AL280" s="2"/>
      <c r="AM280" s="2"/>
      <c r="AN280" s="2"/>
      <c r="AO280" s="2"/>
    </row>
    <row r="281" spans="1:41" s="4" customFormat="1" x14ac:dyDescent="0.25">
      <c r="A281" s="2"/>
      <c r="B281" s="2"/>
      <c r="C281" s="2"/>
      <c r="D281" s="2"/>
      <c r="E281" s="2"/>
      <c r="F281" s="2"/>
      <c r="G281" s="2"/>
      <c r="H281" s="2"/>
      <c r="I281" s="2"/>
      <c r="J281" s="2"/>
      <c r="K281" s="2"/>
      <c r="L281" s="98">
        <v>13</v>
      </c>
      <c r="M281" s="131" t="s">
        <v>334</v>
      </c>
      <c r="N281" s="98" t="s">
        <v>4</v>
      </c>
      <c r="O281" s="30"/>
      <c r="P281" s="30">
        <f t="shared" si="113"/>
        <v>6749.4</v>
      </c>
      <c r="Q281" s="30">
        <f>P281</f>
        <v>6749.4</v>
      </c>
      <c r="R281" s="30">
        <f t="shared" si="107"/>
        <v>206.01224552273072</v>
      </c>
      <c r="S281" s="30">
        <f t="shared" si="108"/>
        <v>5313.8</v>
      </c>
      <c r="T281" s="30">
        <f t="shared" si="109"/>
        <v>1358</v>
      </c>
      <c r="U281" s="30">
        <f t="shared" si="110"/>
        <v>1743</v>
      </c>
      <c r="V281" s="30">
        <f t="shared" si="111"/>
        <v>2072.05125</v>
      </c>
      <c r="W281" s="151">
        <f t="shared" si="112"/>
        <v>1.2135</v>
      </c>
      <c r="X281" s="30"/>
      <c r="Y281" s="2"/>
      <c r="Z281" s="2"/>
      <c r="AA281" s="2"/>
      <c r="AB281" s="2"/>
      <c r="AC281" s="2"/>
      <c r="AD281" s="2"/>
      <c r="AE281" s="2"/>
      <c r="AF281" s="2"/>
      <c r="AG281" s="2"/>
      <c r="AH281" s="2"/>
      <c r="AI281" s="2"/>
      <c r="AJ281" s="33"/>
      <c r="AK281" s="2"/>
      <c r="AL281" s="2"/>
      <c r="AM281" s="2"/>
      <c r="AN281" s="2"/>
      <c r="AO281" s="2"/>
    </row>
    <row r="282" spans="1:41" s="4" customFormat="1" x14ac:dyDescent="0.25">
      <c r="A282" s="2"/>
      <c r="B282" s="2"/>
      <c r="C282" s="2"/>
      <c r="D282" s="2"/>
      <c r="E282" s="2"/>
      <c r="F282" s="2"/>
      <c r="G282" s="2"/>
      <c r="H282" s="2"/>
      <c r="I282" s="2"/>
      <c r="J282" s="2"/>
      <c r="K282" s="2"/>
      <c r="L282" s="98">
        <v>14</v>
      </c>
      <c r="M282" s="133" t="s">
        <v>335</v>
      </c>
      <c r="N282" s="98" t="s">
        <v>1</v>
      </c>
      <c r="O282" s="30"/>
      <c r="P282" s="2"/>
      <c r="Q282" s="30">
        <f>HLOOKUP($O$268,$O$230:$X$262,L282,FALSE)</f>
        <v>6668</v>
      </c>
      <c r="R282" s="30">
        <f t="shared" si="107"/>
        <v>193.17898743814237</v>
      </c>
      <c r="S282" s="30">
        <f t="shared" si="108"/>
        <v>5124.6000000000004</v>
      </c>
      <c r="T282" s="30">
        <f t="shared" si="109"/>
        <v>1260</v>
      </c>
      <c r="U282" s="30">
        <f t="shared" si="110"/>
        <v>1486</v>
      </c>
      <c r="V282" s="30">
        <f t="shared" si="111"/>
        <v>1913.1893</v>
      </c>
      <c r="W282" s="151">
        <f t="shared" si="112"/>
        <v>1.1758999999999999</v>
      </c>
      <c r="X282" s="30"/>
      <c r="Y282" s="2"/>
      <c r="Z282" s="2"/>
      <c r="AA282" s="2"/>
      <c r="AB282" s="2"/>
      <c r="AC282" s="2"/>
      <c r="AD282" s="2"/>
      <c r="AE282" s="2"/>
      <c r="AF282" s="2"/>
      <c r="AG282" s="2"/>
      <c r="AH282" s="2"/>
      <c r="AI282" s="2"/>
      <c r="AJ282" s="33"/>
      <c r="AK282" s="2"/>
      <c r="AL282" s="2"/>
      <c r="AM282" s="2"/>
      <c r="AN282" s="2"/>
      <c r="AO282" s="2"/>
    </row>
    <row r="283" spans="1:41" s="4" customFormat="1" x14ac:dyDescent="0.25">
      <c r="A283" s="2"/>
      <c r="B283" s="2"/>
      <c r="C283" s="2"/>
      <c r="D283" s="2"/>
      <c r="E283" s="2"/>
      <c r="F283" s="2"/>
      <c r="G283" s="2"/>
      <c r="H283" s="2"/>
      <c r="I283" s="2"/>
      <c r="J283" s="2"/>
      <c r="K283" s="2"/>
      <c r="L283" s="98">
        <v>15</v>
      </c>
      <c r="M283" s="133" t="s">
        <v>335</v>
      </c>
      <c r="N283" s="98" t="s">
        <v>2</v>
      </c>
      <c r="O283" s="30"/>
      <c r="P283" s="2"/>
      <c r="Q283" s="30">
        <f t="shared" ref="Q283:Q301" si="114">HLOOKUP($O$268,$O$230:$X$262,L283,FALSE)</f>
        <v>7496.5</v>
      </c>
      <c r="R283" s="30">
        <f t="shared" si="107"/>
        <v>295.65085740769354</v>
      </c>
      <c r="S283" s="30">
        <f t="shared" si="108"/>
        <v>5887.9</v>
      </c>
      <c r="T283" s="30">
        <f t="shared" si="109"/>
        <v>1438</v>
      </c>
      <c r="U283" s="30">
        <f t="shared" si="110"/>
        <v>1602</v>
      </c>
      <c r="V283" s="30">
        <f t="shared" si="111"/>
        <v>1930.4355000000003</v>
      </c>
      <c r="W283" s="151">
        <f t="shared" si="112"/>
        <v>1.1865000000000001</v>
      </c>
      <c r="X283" s="30"/>
      <c r="Y283" s="2"/>
      <c r="Z283" s="2"/>
      <c r="AA283" s="2"/>
      <c r="AB283" s="2"/>
      <c r="AC283" s="2"/>
      <c r="AD283" s="2"/>
      <c r="AE283" s="2"/>
      <c r="AF283" s="2"/>
      <c r="AG283" s="2"/>
      <c r="AH283" s="2"/>
      <c r="AI283" s="2"/>
      <c r="AJ283" s="33"/>
      <c r="AK283" s="2"/>
      <c r="AL283" s="2"/>
      <c r="AM283" s="2"/>
      <c r="AN283" s="2"/>
      <c r="AO283" s="2"/>
    </row>
    <row r="284" spans="1:41" s="4" customFormat="1" x14ac:dyDescent="0.25">
      <c r="A284" s="2"/>
      <c r="B284" s="2"/>
      <c r="C284" s="2"/>
      <c r="D284" s="2"/>
      <c r="E284" s="2"/>
      <c r="F284" s="2"/>
      <c r="G284" s="2"/>
      <c r="H284" s="2"/>
      <c r="I284" s="2"/>
      <c r="J284" s="2"/>
      <c r="K284" s="2"/>
      <c r="L284" s="98">
        <v>16</v>
      </c>
      <c r="M284" s="133" t="s">
        <v>335</v>
      </c>
      <c r="N284" s="98" t="s">
        <v>3</v>
      </c>
      <c r="O284" s="30"/>
      <c r="P284" s="2"/>
      <c r="Q284" s="30">
        <f t="shared" si="114"/>
        <v>8146.7</v>
      </c>
      <c r="R284" s="30">
        <f t="shared" si="107"/>
        <v>364.55985232754745</v>
      </c>
      <c r="S284" s="30">
        <f t="shared" si="108"/>
        <v>6201.3</v>
      </c>
      <c r="T284" s="30">
        <f t="shared" si="109"/>
        <v>1495</v>
      </c>
      <c r="U284" s="30">
        <f t="shared" si="110"/>
        <v>1606</v>
      </c>
      <c r="V284" s="30">
        <f t="shared" si="111"/>
        <v>2172.3232499999999</v>
      </c>
      <c r="W284" s="151">
        <f t="shared" si="112"/>
        <v>1.1595</v>
      </c>
      <c r="X284" s="30"/>
      <c r="Y284" s="2"/>
      <c r="Z284" s="2"/>
      <c r="AA284" s="2"/>
      <c r="AB284" s="2"/>
      <c r="AC284" s="2"/>
      <c r="AD284" s="2"/>
      <c r="AE284" s="2"/>
      <c r="AF284" s="2"/>
      <c r="AG284" s="2"/>
      <c r="AH284" s="2"/>
      <c r="AI284" s="2"/>
      <c r="AJ284" s="33"/>
      <c r="AK284" s="2"/>
      <c r="AL284" s="2"/>
      <c r="AM284" s="2"/>
      <c r="AN284" s="2"/>
      <c r="AO284" s="2"/>
    </row>
    <row r="285" spans="1:41" s="4" customFormat="1" x14ac:dyDescent="0.25">
      <c r="A285" s="2"/>
      <c r="B285" s="2"/>
      <c r="C285" s="2"/>
      <c r="D285" s="2"/>
      <c r="E285" s="2"/>
      <c r="F285" s="2"/>
      <c r="G285" s="2"/>
      <c r="H285" s="2"/>
      <c r="I285" s="2"/>
      <c r="J285" s="2"/>
      <c r="K285" s="2"/>
      <c r="L285" s="98">
        <v>17</v>
      </c>
      <c r="M285" s="133" t="s">
        <v>335</v>
      </c>
      <c r="N285" s="98" t="s">
        <v>4</v>
      </c>
      <c r="O285" s="30"/>
      <c r="P285" s="2"/>
      <c r="Q285" s="30">
        <f t="shared" si="114"/>
        <v>8050.4</v>
      </c>
      <c r="R285" s="30">
        <f t="shared" si="107"/>
        <v>382.74107522144783</v>
      </c>
      <c r="S285" s="30">
        <f t="shared" si="108"/>
        <v>6009.1</v>
      </c>
      <c r="T285" s="30">
        <f t="shared" si="109"/>
        <v>1546</v>
      </c>
      <c r="U285" s="30">
        <f t="shared" si="110"/>
        <v>1890</v>
      </c>
      <c r="V285" s="30">
        <f t="shared" si="111"/>
        <v>2130.3568500000001</v>
      </c>
      <c r="W285" s="151">
        <f t="shared" si="112"/>
        <v>1.1371</v>
      </c>
      <c r="X285" s="30"/>
      <c r="Y285" s="2"/>
      <c r="Z285" s="2"/>
      <c r="AA285" s="2"/>
      <c r="AB285" s="2"/>
      <c r="AC285" s="2"/>
      <c r="AD285" s="2"/>
      <c r="AE285" s="2"/>
      <c r="AF285" s="2"/>
      <c r="AG285" s="2"/>
      <c r="AH285" s="2"/>
      <c r="AI285" s="2"/>
      <c r="AJ285" s="33"/>
      <c r="AK285" s="2"/>
      <c r="AL285" s="2"/>
      <c r="AM285" s="2"/>
      <c r="AN285" s="2"/>
      <c r="AO285" s="2"/>
    </row>
    <row r="286" spans="1:41" s="4" customFormat="1" x14ac:dyDescent="0.25">
      <c r="A286" s="2"/>
      <c r="B286" s="2"/>
      <c r="C286" s="2"/>
      <c r="D286" s="2"/>
      <c r="E286" s="2"/>
      <c r="F286" s="2"/>
      <c r="G286" s="2"/>
      <c r="H286" s="2"/>
      <c r="I286" s="2"/>
      <c r="J286" s="2"/>
      <c r="K286" s="2"/>
      <c r="L286" s="98">
        <v>18</v>
      </c>
      <c r="M286" s="133" t="s">
        <v>336</v>
      </c>
      <c r="N286" s="98" t="s">
        <v>1</v>
      </c>
      <c r="O286" s="30"/>
      <c r="P286" s="2"/>
      <c r="Q286" s="30">
        <f t="shared" si="114"/>
        <v>7636</v>
      </c>
      <c r="R286" s="30">
        <f t="shared" si="107"/>
        <v>377.89725133975577</v>
      </c>
      <c r="S286" s="30">
        <f t="shared" si="108"/>
        <v>5665.6</v>
      </c>
      <c r="T286" s="30">
        <f t="shared" si="109"/>
        <v>1451</v>
      </c>
      <c r="U286" s="30">
        <f t="shared" si="110"/>
        <v>1547</v>
      </c>
      <c r="V286" s="30">
        <f t="shared" si="111"/>
        <v>2152.1504</v>
      </c>
      <c r="W286" s="151">
        <f t="shared" si="112"/>
        <v>1.1048</v>
      </c>
      <c r="X286" s="30"/>
      <c r="Y286" s="2"/>
      <c r="Z286" s="2"/>
      <c r="AA286" s="2"/>
      <c r="AB286" s="2"/>
      <c r="AC286" s="2"/>
      <c r="AD286" s="2"/>
      <c r="AE286" s="2"/>
      <c r="AF286" s="2"/>
      <c r="AG286" s="2"/>
      <c r="AH286" s="2"/>
      <c r="AI286" s="2"/>
      <c r="AJ286" s="33"/>
      <c r="AK286" s="2"/>
      <c r="AL286" s="2"/>
      <c r="AM286" s="2"/>
      <c r="AN286" s="2"/>
      <c r="AO286" s="2"/>
    </row>
    <row r="287" spans="1:41" s="4" customFormat="1" x14ac:dyDescent="0.25">
      <c r="A287" s="2"/>
      <c r="B287" s="2"/>
      <c r="C287" s="2"/>
      <c r="D287" s="2"/>
      <c r="E287" s="2"/>
      <c r="F287" s="2"/>
      <c r="G287" s="2"/>
      <c r="H287" s="2"/>
      <c r="I287" s="2"/>
      <c r="J287" s="2"/>
      <c r="K287" s="2"/>
      <c r="L287" s="98">
        <v>19</v>
      </c>
      <c r="M287" s="133" t="s">
        <v>336</v>
      </c>
      <c r="N287" s="98" t="s">
        <v>2</v>
      </c>
      <c r="O287" s="30"/>
      <c r="P287" s="2"/>
      <c r="Q287" s="30">
        <f t="shared" si="114"/>
        <v>8150.1</v>
      </c>
      <c r="R287" s="30">
        <f t="shared" si="107"/>
        <v>492.27383972541406</v>
      </c>
      <c r="S287" s="30">
        <f t="shared" si="108"/>
        <v>5718.4</v>
      </c>
      <c r="T287" s="30">
        <f t="shared" si="109"/>
        <v>1639</v>
      </c>
      <c r="U287" s="30">
        <f t="shared" si="110"/>
        <v>1636</v>
      </c>
      <c r="V287" s="30">
        <f t="shared" si="111"/>
        <v>2031.5691999999999</v>
      </c>
      <c r="W287" s="151">
        <f t="shared" si="112"/>
        <v>1.0428999999999999</v>
      </c>
      <c r="X287" s="30"/>
      <c r="Y287" s="2"/>
      <c r="Z287" s="2"/>
      <c r="AA287" s="2"/>
      <c r="AB287" s="2"/>
      <c r="AC287" s="2"/>
      <c r="AD287" s="2"/>
      <c r="AE287" s="2"/>
      <c r="AF287" s="2"/>
      <c r="AG287" s="2"/>
      <c r="AH287" s="2"/>
      <c r="AI287" s="2"/>
      <c r="AJ287" s="33"/>
      <c r="AK287" s="2"/>
      <c r="AL287" s="2"/>
      <c r="AM287" s="2"/>
      <c r="AN287" s="2"/>
      <c r="AO287" s="2"/>
    </row>
    <row r="288" spans="1:41" s="4" customFormat="1" x14ac:dyDescent="0.25">
      <c r="A288" s="2"/>
      <c r="B288" s="2"/>
      <c r="C288" s="2"/>
      <c r="D288" s="2"/>
      <c r="E288" s="2"/>
      <c r="F288" s="2"/>
      <c r="G288" s="2"/>
      <c r="H288" s="2"/>
      <c r="I288" s="2"/>
      <c r="J288" s="2"/>
      <c r="K288" s="2"/>
      <c r="L288" s="98">
        <v>20</v>
      </c>
      <c r="M288" s="133" t="s">
        <v>336</v>
      </c>
      <c r="N288" s="98" t="s">
        <v>3</v>
      </c>
      <c r="O288" s="30"/>
      <c r="P288" s="2"/>
      <c r="Q288" s="30">
        <f t="shared" si="114"/>
        <v>8414.2000000000007</v>
      </c>
      <c r="R288" s="30">
        <f t="shared" si="107"/>
        <v>546.02894859999992</v>
      </c>
      <c r="S288" s="30">
        <f t="shared" si="108"/>
        <v>5872.1</v>
      </c>
      <c r="T288" s="30">
        <f t="shared" si="109"/>
        <v>1726</v>
      </c>
      <c r="U288" s="30">
        <f t="shared" si="110"/>
        <v>1640</v>
      </c>
      <c r="V288" s="30">
        <f t="shared" si="111"/>
        <v>2146.0721080228295</v>
      </c>
      <c r="W288" s="151">
        <f t="shared" si="112"/>
        <v>1.0087295454866414</v>
      </c>
      <c r="X288" s="30"/>
      <c r="Y288" s="2"/>
      <c r="Z288" s="2"/>
      <c r="AA288" s="2"/>
      <c r="AB288" s="2"/>
      <c r="AC288" s="2"/>
      <c r="AD288" s="2"/>
      <c r="AE288" s="2"/>
      <c r="AF288" s="2"/>
      <c r="AG288" s="2"/>
      <c r="AH288" s="2"/>
      <c r="AI288" s="2"/>
      <c r="AJ288" s="33"/>
      <c r="AK288" s="2"/>
      <c r="AL288" s="2"/>
      <c r="AM288" s="2"/>
      <c r="AN288" s="2"/>
      <c r="AO288" s="2"/>
    </row>
    <row r="289" spans="1:80" s="4" customFormat="1" x14ac:dyDescent="0.25">
      <c r="A289" s="2"/>
      <c r="B289" s="2"/>
      <c r="C289" s="2"/>
      <c r="D289" s="2"/>
      <c r="E289" s="2"/>
      <c r="F289" s="2"/>
      <c r="G289" s="2"/>
      <c r="H289" s="2"/>
      <c r="I289" s="2"/>
      <c r="J289" s="2"/>
      <c r="K289" s="2"/>
      <c r="L289" s="98">
        <v>21</v>
      </c>
      <c r="M289" s="133" t="s">
        <v>336</v>
      </c>
      <c r="N289" s="98" t="s">
        <v>4</v>
      </c>
      <c r="O289" s="30"/>
      <c r="P289" s="27"/>
      <c r="Q289" s="30">
        <f t="shared" si="114"/>
        <v>8714</v>
      </c>
      <c r="R289" s="30">
        <f t="shared" si="107"/>
        <v>534.36922966600002</v>
      </c>
      <c r="S289" s="30">
        <f t="shared" si="108"/>
        <v>5927</v>
      </c>
      <c r="T289" s="30">
        <f t="shared" si="109"/>
        <v>1689</v>
      </c>
      <c r="U289" s="30">
        <f t="shared" si="110"/>
        <v>2019</v>
      </c>
      <c r="V289" s="30">
        <f t="shared" si="111"/>
        <v>2282.1692499999999</v>
      </c>
      <c r="W289" s="151">
        <f t="shared" si="112"/>
        <v>1.0727</v>
      </c>
      <c r="X289" s="30"/>
      <c r="Y289" s="2"/>
      <c r="Z289" s="2"/>
      <c r="AA289" s="2"/>
      <c r="AB289" s="2"/>
      <c r="AC289" s="2"/>
      <c r="AD289" s="2"/>
      <c r="AE289" s="2"/>
      <c r="AF289" s="2"/>
      <c r="AG289" s="2"/>
      <c r="AH289" s="2"/>
      <c r="AI289" s="2"/>
      <c r="AJ289" s="33"/>
      <c r="AK289" s="2"/>
      <c r="AL289" s="2"/>
      <c r="AM289" s="2"/>
      <c r="AN289" s="2"/>
      <c r="AO289" s="2"/>
    </row>
    <row r="290" spans="1:80" s="4" customFormat="1" x14ac:dyDescent="0.25">
      <c r="A290" s="2"/>
      <c r="B290" s="2"/>
      <c r="C290" s="2"/>
      <c r="D290" s="2"/>
      <c r="E290" s="2"/>
      <c r="F290" s="2"/>
      <c r="G290" s="2"/>
      <c r="H290" s="2"/>
      <c r="I290" s="2"/>
      <c r="J290" s="2"/>
      <c r="K290" s="2"/>
      <c r="L290" s="98">
        <v>22</v>
      </c>
      <c r="M290" s="133" t="s">
        <v>337</v>
      </c>
      <c r="N290" s="98" t="s">
        <v>1</v>
      </c>
      <c r="O290" s="30"/>
      <c r="P290" s="30"/>
      <c r="Q290" s="30">
        <f t="shared" si="114"/>
        <v>8719.7999999999993</v>
      </c>
      <c r="R290" s="30">
        <f t="shared" si="107"/>
        <v>665.50905</v>
      </c>
      <c r="S290" s="30">
        <f t="shared" si="108"/>
        <v>5897.8</v>
      </c>
      <c r="T290" s="30">
        <f t="shared" si="109"/>
        <v>1590</v>
      </c>
      <c r="U290" s="30">
        <f t="shared" si="110"/>
        <v>1645</v>
      </c>
      <c r="V290" s="30">
        <f t="shared" si="111"/>
        <v>2153.52</v>
      </c>
      <c r="W290" s="151">
        <f t="shared" si="112"/>
        <v>1.08</v>
      </c>
      <c r="X290" s="30"/>
      <c r="Y290" s="2"/>
      <c r="Z290" s="2"/>
      <c r="AA290" s="2"/>
      <c r="AB290" s="2"/>
      <c r="AC290" s="2"/>
      <c r="AD290" s="2"/>
      <c r="AE290" s="2"/>
      <c r="AF290" s="2"/>
      <c r="AG290" s="2"/>
      <c r="AH290" s="2"/>
      <c r="AI290" s="2"/>
      <c r="AJ290" s="33"/>
      <c r="AK290" s="2"/>
      <c r="AL290" s="2"/>
      <c r="AM290" s="2"/>
      <c r="AN290" s="2"/>
      <c r="AO290" s="2"/>
    </row>
    <row r="291" spans="1:80" s="4" customFormat="1" x14ac:dyDescent="0.3">
      <c r="A291" s="2"/>
      <c r="B291" s="2"/>
      <c r="C291" s="2"/>
      <c r="D291" s="2"/>
      <c r="E291" s="2"/>
      <c r="F291" s="2"/>
      <c r="G291" s="2"/>
      <c r="H291" s="2"/>
      <c r="I291" s="2"/>
      <c r="J291" s="2"/>
      <c r="K291" s="2"/>
      <c r="L291" s="98">
        <v>23</v>
      </c>
      <c r="M291" s="134">
        <v>2023</v>
      </c>
      <c r="N291" s="98" t="s">
        <v>2</v>
      </c>
      <c r="O291" s="30"/>
      <c r="P291" s="27"/>
      <c r="Q291" s="30">
        <f t="shared" si="114"/>
        <v>9168.2999999999993</v>
      </c>
      <c r="R291" s="30">
        <f t="shared" si="107"/>
        <v>868.20006000000012</v>
      </c>
      <c r="S291" s="30">
        <f t="shared" si="108"/>
        <v>6497.5</v>
      </c>
      <c r="T291" s="30">
        <f t="shared" si="109"/>
        <v>1775</v>
      </c>
      <c r="U291" s="30">
        <f t="shared" si="110"/>
        <v>1687</v>
      </c>
      <c r="V291" s="30">
        <f t="shared" si="111"/>
        <v>2176.6504</v>
      </c>
      <c r="W291" s="151">
        <f t="shared" si="112"/>
        <v>1.0915999999999999</v>
      </c>
      <c r="X291" s="30"/>
      <c r="Y291" s="2"/>
      <c r="Z291" s="2"/>
      <c r="AA291" s="2"/>
      <c r="AB291" s="2"/>
      <c r="AC291" s="2"/>
      <c r="AD291" s="2"/>
      <c r="AE291" s="2"/>
      <c r="AF291" s="2"/>
      <c r="AG291" s="2"/>
      <c r="AH291" s="2"/>
      <c r="AI291" s="2"/>
      <c r="AJ291" s="33"/>
      <c r="AK291" s="2"/>
      <c r="AL291" s="2"/>
      <c r="AM291" s="2"/>
      <c r="AN291" s="2"/>
      <c r="AO291" s="2"/>
    </row>
    <row r="292" spans="1:80" s="4" customFormat="1" x14ac:dyDescent="0.3">
      <c r="A292" s="2"/>
      <c r="B292" s="2"/>
      <c r="C292" s="2"/>
      <c r="D292" s="2"/>
      <c r="E292" s="2"/>
      <c r="F292" s="2"/>
      <c r="G292" s="2"/>
      <c r="H292" s="2"/>
      <c r="I292" s="2"/>
      <c r="J292" s="2"/>
      <c r="K292" s="2"/>
      <c r="L292" s="98">
        <v>24</v>
      </c>
      <c r="M292" s="134">
        <v>2023</v>
      </c>
      <c r="N292" s="98" t="s">
        <v>3</v>
      </c>
      <c r="O292" s="30"/>
      <c r="P292" s="27"/>
      <c r="Q292" s="30">
        <f t="shared" si="114"/>
        <v>9373.6</v>
      </c>
      <c r="R292" s="30">
        <f t="shared" si="107"/>
        <v>984.24533129999986</v>
      </c>
      <c r="S292" s="30">
        <f t="shared" si="108"/>
        <v>6692.2</v>
      </c>
      <c r="T292" s="30">
        <f t="shared" si="109"/>
        <v>1837</v>
      </c>
      <c r="U292" s="30">
        <f t="shared" si="110"/>
        <v>1708</v>
      </c>
      <c r="V292" s="30">
        <f t="shared" si="111"/>
        <v>2224.8580499999998</v>
      </c>
      <c r="W292" s="151">
        <f t="shared" si="112"/>
        <v>1.0587</v>
      </c>
      <c r="X292" s="2"/>
      <c r="AA292" s="2"/>
      <c r="AB292" s="2"/>
      <c r="AC292" s="2"/>
      <c r="AD292" s="2"/>
      <c r="AE292" s="2"/>
      <c r="AF292" s="2"/>
      <c r="AG292" s="2"/>
      <c r="AH292" s="2"/>
      <c r="AI292" s="2"/>
      <c r="AJ292" s="33"/>
      <c r="AK292" s="2"/>
      <c r="AL292" s="2"/>
      <c r="AM292" s="2"/>
      <c r="AN292" s="2"/>
      <c r="AO292" s="2"/>
    </row>
    <row r="293" spans="1:80" s="4" customFormat="1" x14ac:dyDescent="0.3">
      <c r="A293" s="2"/>
      <c r="B293" s="2"/>
      <c r="C293" s="2"/>
      <c r="D293" s="2"/>
      <c r="E293" s="2"/>
      <c r="F293" s="2"/>
      <c r="G293" s="2"/>
      <c r="H293" s="2"/>
      <c r="I293" s="2"/>
      <c r="J293" s="2"/>
      <c r="K293" s="2"/>
      <c r="L293" s="98">
        <v>25</v>
      </c>
      <c r="M293" s="134">
        <v>2023</v>
      </c>
      <c r="N293" s="98" t="s">
        <v>4</v>
      </c>
      <c r="O293" s="30"/>
      <c r="P293" s="30"/>
      <c r="Q293" s="30">
        <f t="shared" si="114"/>
        <v>9425.2999999999993</v>
      </c>
      <c r="R293" s="30">
        <f t="shared" si="107"/>
        <v>996.05493643499995</v>
      </c>
      <c r="S293" s="30">
        <f t="shared" si="108"/>
        <v>6406.2</v>
      </c>
      <c r="T293" s="30">
        <f t="shared" si="109"/>
        <v>1820</v>
      </c>
      <c r="U293" s="30">
        <f t="shared" si="110"/>
        <v>2036</v>
      </c>
      <c r="V293" s="30">
        <f t="shared" si="111"/>
        <v>2322.3676500000001</v>
      </c>
      <c r="W293" s="151">
        <f t="shared" si="112"/>
        <v>1.1051</v>
      </c>
      <c r="X293" s="30"/>
      <c r="Y293" s="2"/>
      <c r="Z293" s="2"/>
      <c r="AA293" s="2"/>
      <c r="AB293" s="2"/>
      <c r="AC293" s="2"/>
      <c r="AD293" s="2"/>
      <c r="AE293" s="2"/>
      <c r="AF293" s="2"/>
      <c r="AG293" s="2"/>
      <c r="AH293" s="2"/>
      <c r="AI293" s="2"/>
      <c r="AJ293" s="33"/>
      <c r="AK293" s="2"/>
      <c r="AL293" s="2"/>
      <c r="AM293" s="2"/>
      <c r="AN293" s="2"/>
      <c r="AO293" s="2"/>
      <c r="CA293"/>
      <c r="CB293"/>
    </row>
    <row r="294" spans="1:80" x14ac:dyDescent="0.3">
      <c r="A294" s="2"/>
      <c r="B294" s="2"/>
      <c r="C294" s="2"/>
      <c r="D294" s="2"/>
      <c r="E294" s="2"/>
      <c r="F294" s="2"/>
      <c r="G294" s="2"/>
      <c r="H294" s="2"/>
      <c r="I294" s="2"/>
      <c r="J294" s="2"/>
      <c r="K294" s="2"/>
      <c r="L294" s="98">
        <v>26</v>
      </c>
      <c r="M294" s="134">
        <v>2024</v>
      </c>
      <c r="N294" s="98" t="s">
        <v>1</v>
      </c>
      <c r="O294" s="30"/>
      <c r="P294" s="30"/>
      <c r="Q294" s="30">
        <f t="shared" si="114"/>
        <v>8563</v>
      </c>
      <c r="R294" s="30">
        <f t="shared" si="107"/>
        <v>869.51652735700009</v>
      </c>
      <c r="S294" s="30">
        <f t="shared" si="108"/>
        <v>6169</v>
      </c>
      <c r="T294" s="30">
        <f t="shared" si="109"/>
        <v>1739</v>
      </c>
      <c r="U294" s="30">
        <f t="shared" si="110"/>
        <v>1598</v>
      </c>
      <c r="V294" s="30">
        <f t="shared" si="111"/>
        <v>2272.7685000000001</v>
      </c>
      <c r="W294" s="151">
        <f t="shared" si="112"/>
        <v>1.0797000000000001</v>
      </c>
      <c r="X294" s="30"/>
      <c r="Y294" s="2"/>
      <c r="Z294" s="2"/>
      <c r="AA294" s="2"/>
      <c r="AB294" s="2"/>
      <c r="AC294" s="2"/>
      <c r="AD294" s="2"/>
      <c r="AE294" s="2"/>
      <c r="AF294" s="2"/>
      <c r="AG294" s="2"/>
      <c r="AH294" s="2"/>
      <c r="AI294" s="2"/>
      <c r="AJ294" s="33"/>
      <c r="AK294" s="2"/>
      <c r="AL294" s="2"/>
      <c r="AM294" s="2"/>
      <c r="AN294" s="2"/>
      <c r="AO294" s="2"/>
      <c r="AP294" s="4"/>
      <c r="AQ294" s="4"/>
      <c r="AR294" s="4"/>
      <c r="AS294" s="4"/>
      <c r="AT294" s="4"/>
      <c r="AU294" s="4"/>
      <c r="AV294" s="4"/>
      <c r="AW294" s="4"/>
      <c r="AX294" s="4"/>
      <c r="AY294" s="4"/>
      <c r="AZ294" s="4"/>
      <c r="BT294" s="4"/>
    </row>
    <row r="295" spans="1:80" x14ac:dyDescent="0.3">
      <c r="A295" s="2"/>
      <c r="B295" s="2"/>
      <c r="C295" s="2"/>
      <c r="D295" s="2"/>
      <c r="E295" s="2"/>
      <c r="F295" s="2"/>
      <c r="G295" s="2"/>
      <c r="H295" s="2"/>
      <c r="I295" s="2"/>
      <c r="J295" s="2"/>
      <c r="K295" s="2"/>
      <c r="L295" s="98">
        <v>27</v>
      </c>
      <c r="M295" s="133">
        <v>2024</v>
      </c>
      <c r="N295" s="98" t="s">
        <v>2</v>
      </c>
      <c r="O295" s="27"/>
      <c r="P295" s="27"/>
      <c r="Q295" s="30">
        <f t="shared" si="114"/>
        <v>9113.9</v>
      </c>
      <c r="R295" s="30">
        <f t="shared" si="107"/>
        <v>1156.2268206840001</v>
      </c>
      <c r="S295" s="30">
        <f t="shared" si="108"/>
        <v>6490</v>
      </c>
      <c r="T295" s="30">
        <f t="shared" si="109"/>
        <v>2080</v>
      </c>
      <c r="U295" s="30">
        <f t="shared" si="110"/>
        <v>1763</v>
      </c>
      <c r="V295" s="30">
        <f t="shared" si="111"/>
        <v>2255.5496000000003</v>
      </c>
      <c r="W295" s="151">
        <f t="shared" si="112"/>
        <v>1.07152</v>
      </c>
      <c r="AB295" s="2"/>
      <c r="AC295" s="2"/>
      <c r="AD295" s="2"/>
      <c r="AE295" s="2"/>
      <c r="AF295" s="2"/>
      <c r="AG295" s="2"/>
      <c r="AH295" s="33"/>
      <c r="AI295" s="2"/>
      <c r="AJ295" s="2"/>
      <c r="AK295" s="2"/>
      <c r="AL295" s="2"/>
      <c r="AM295" s="2"/>
      <c r="AN295" s="2"/>
      <c r="AO295" s="2"/>
      <c r="AP295" s="4"/>
      <c r="AQ295" s="4"/>
      <c r="AR295" s="4"/>
      <c r="AS295" s="4"/>
      <c r="AT295" s="4"/>
      <c r="AU295" s="4"/>
      <c r="AV295" s="4"/>
      <c r="AW295" s="4"/>
      <c r="AX295" s="4"/>
      <c r="AY295" s="4"/>
      <c r="AZ295" s="4"/>
      <c r="BT295" s="4"/>
    </row>
    <row r="296" spans="1:80" x14ac:dyDescent="0.3">
      <c r="A296" s="2"/>
      <c r="B296" s="2"/>
      <c r="C296" s="2"/>
      <c r="D296" s="2"/>
      <c r="E296" s="2"/>
      <c r="F296" s="2"/>
      <c r="G296" s="2"/>
      <c r="H296" s="2"/>
      <c r="I296" s="2"/>
      <c r="J296" s="2"/>
      <c r="K296" s="2"/>
      <c r="L296" s="98">
        <v>28</v>
      </c>
      <c r="M296" s="133">
        <v>2024</v>
      </c>
      <c r="N296" s="98" t="s">
        <v>3</v>
      </c>
      <c r="O296" s="27"/>
      <c r="P296" s="27"/>
      <c r="Q296" s="30">
        <f t="shared" si="114"/>
        <v>9074</v>
      </c>
      <c r="R296" s="30">
        <f t="shared" si="107"/>
        <v>1452.103016112</v>
      </c>
      <c r="S296" s="30">
        <f t="shared" si="108"/>
        <v>6874</v>
      </c>
      <c r="T296" s="30">
        <f t="shared" si="109"/>
        <v>2291</v>
      </c>
      <c r="U296" s="30">
        <f t="shared" si="110"/>
        <v>1826</v>
      </c>
      <c r="V296" s="30">
        <f t="shared" si="111"/>
        <v>2583.9250149999998</v>
      </c>
      <c r="W296" s="151">
        <f t="shared" si="112"/>
        <v>1.1168899999999999</v>
      </c>
      <c r="AA296" s="2"/>
      <c r="AB296" s="2"/>
      <c r="AC296" s="2"/>
      <c r="AD296" s="2"/>
      <c r="AE296" s="2"/>
      <c r="AF296" s="2"/>
      <c r="AG296" s="2"/>
      <c r="AH296" s="33"/>
      <c r="AI296" s="2"/>
      <c r="AJ296" s="2"/>
      <c r="AK296" s="2"/>
      <c r="AL296" s="2"/>
      <c r="AM296" s="2"/>
      <c r="AN296" s="2"/>
      <c r="AO296" s="2"/>
      <c r="AP296" s="4"/>
      <c r="AQ296" s="4"/>
      <c r="AR296" s="4"/>
      <c r="AS296" s="4"/>
      <c r="AT296" s="4"/>
      <c r="AU296" s="4"/>
      <c r="AV296" s="4"/>
      <c r="AW296" s="4"/>
      <c r="AX296" s="4"/>
      <c r="AY296" s="4"/>
      <c r="AZ296" s="4"/>
    </row>
    <row r="297" spans="1:80" x14ac:dyDescent="0.3">
      <c r="A297" s="2"/>
      <c r="B297" s="2"/>
      <c r="C297" s="2"/>
      <c r="D297" s="2"/>
      <c r="E297" s="2"/>
      <c r="F297" s="2"/>
      <c r="G297" s="2"/>
      <c r="H297" s="2"/>
      <c r="I297" s="2"/>
      <c r="J297" s="2"/>
      <c r="K297" s="2"/>
      <c r="L297" s="98">
        <v>29</v>
      </c>
      <c r="M297" s="133">
        <v>2024</v>
      </c>
      <c r="N297" s="98" t="s">
        <v>4</v>
      </c>
      <c r="O297" s="27"/>
      <c r="P297" s="27"/>
      <c r="Q297" s="30">
        <f t="shared" si="114"/>
        <v>9397.7999999999993</v>
      </c>
      <c r="R297" s="30">
        <f t="shared" si="107"/>
        <v>1317.018949</v>
      </c>
      <c r="S297" s="30">
        <f t="shared" si="108"/>
        <v>6388</v>
      </c>
      <c r="T297" s="30">
        <f t="shared" si="109"/>
        <v>2296</v>
      </c>
      <c r="U297" s="30">
        <f t="shared" si="110"/>
        <v>2362</v>
      </c>
      <c r="V297" s="30">
        <f t="shared" si="111"/>
        <v>2408.2609600000001</v>
      </c>
      <c r="W297" s="151">
        <f t="shared" si="112"/>
        <v>1.0409600000000001</v>
      </c>
      <c r="X297" s="2"/>
      <c r="Y297" s="2"/>
      <c r="Z297" s="2"/>
      <c r="AA297" s="2"/>
      <c r="AB297" s="2"/>
      <c r="AC297" s="2"/>
      <c r="AD297" s="2"/>
      <c r="AE297" s="2"/>
      <c r="AF297" s="2"/>
      <c r="AG297" s="2"/>
      <c r="AH297" s="33"/>
      <c r="AI297" s="2"/>
      <c r="AJ297" s="2"/>
      <c r="AK297" s="2"/>
      <c r="AL297" s="2"/>
      <c r="AM297" s="2"/>
      <c r="AN297" s="2"/>
      <c r="AO297" s="2"/>
      <c r="AP297" s="4"/>
      <c r="AQ297" s="4"/>
      <c r="AR297" s="4"/>
      <c r="AS297" s="4"/>
      <c r="AT297" s="4"/>
      <c r="AU297" s="4"/>
      <c r="AV297" s="4"/>
      <c r="AW297" s="4"/>
      <c r="AX297" s="4"/>
      <c r="AY297" s="4"/>
      <c r="AZ297" s="4"/>
    </row>
    <row r="298" spans="1:80" x14ac:dyDescent="0.3">
      <c r="A298" s="2"/>
      <c r="B298" s="2"/>
      <c r="C298" s="2"/>
      <c r="D298" s="2"/>
      <c r="E298" s="2"/>
      <c r="F298" s="2"/>
      <c r="G298" s="2"/>
      <c r="H298" s="2"/>
      <c r="I298" s="2"/>
      <c r="J298" s="2"/>
      <c r="K298" s="2"/>
      <c r="L298" s="98">
        <v>30</v>
      </c>
      <c r="M298" s="138">
        <v>2025</v>
      </c>
      <c r="N298" s="98" t="s">
        <v>1</v>
      </c>
      <c r="O298" s="27"/>
      <c r="P298" s="27"/>
      <c r="Q298" s="30">
        <f t="shared" si="114"/>
        <v>8761.6</v>
      </c>
      <c r="R298" s="30">
        <f t="shared" si="107"/>
        <v>1220.669575179</v>
      </c>
      <c r="S298" s="30">
        <f t="shared" si="108"/>
        <v>5956</v>
      </c>
      <c r="T298" s="30">
        <f t="shared" si="109"/>
        <v>2109</v>
      </c>
      <c r="U298" s="30">
        <f t="shared" si="110"/>
        <v>1787</v>
      </c>
      <c r="V298" s="30">
        <f t="shared" si="111"/>
        <v>2730.3540000000003</v>
      </c>
      <c r="W298" s="151">
        <f t="shared" si="112"/>
        <v>1.0824</v>
      </c>
      <c r="X298" s="2"/>
      <c r="AE298" s="2"/>
      <c r="AF298" s="2"/>
      <c r="AG298" s="2"/>
      <c r="AH298" s="33"/>
      <c r="AI298" s="2"/>
      <c r="AJ298" s="2"/>
      <c r="AK298" s="2"/>
      <c r="AL298" s="2"/>
      <c r="AM298" s="2"/>
      <c r="AN298" s="2"/>
      <c r="AO298" s="2"/>
      <c r="AP298" s="4"/>
      <c r="AQ298" s="4"/>
      <c r="AR298" s="4"/>
      <c r="AS298" s="4"/>
      <c r="AT298" s="4"/>
      <c r="AU298" s="4"/>
      <c r="AV298" s="4"/>
      <c r="AW298" s="4"/>
      <c r="AX298" s="4"/>
      <c r="AY298" s="4"/>
      <c r="AZ298" s="4"/>
    </row>
    <row r="299" spans="1:80" x14ac:dyDescent="0.3">
      <c r="A299" s="2"/>
      <c r="B299" s="2"/>
      <c r="C299" s="2"/>
      <c r="D299" s="2"/>
      <c r="E299" s="2"/>
      <c r="F299" s="2"/>
      <c r="G299" s="2"/>
      <c r="H299" s="2"/>
      <c r="I299" s="2"/>
      <c r="J299" s="2"/>
      <c r="K299" s="2"/>
      <c r="L299" s="98">
        <v>31</v>
      </c>
      <c r="M299" s="138">
        <v>2025</v>
      </c>
      <c r="N299" s="98" t="s">
        <v>2</v>
      </c>
      <c r="O299" s="27"/>
      <c r="P299" s="27"/>
      <c r="Q299" s="30">
        <f t="shared" si="114"/>
        <v>9456</v>
      </c>
      <c r="R299" s="30">
        <f t="shared" si="107"/>
        <v>1724.87226558</v>
      </c>
      <c r="S299" s="30">
        <f t="shared" si="108"/>
        <v>6843</v>
      </c>
      <c r="T299" s="30">
        <f t="shared" si="109"/>
        <v>2410</v>
      </c>
      <c r="U299" s="30">
        <f t="shared" si="110"/>
        <v>1933</v>
      </c>
      <c r="V299" s="30">
        <f t="shared" si="111"/>
        <v>2958.5645750000003</v>
      </c>
      <c r="W299" s="151">
        <f t="shared" si="112"/>
        <v>1.1728700000000001</v>
      </c>
      <c r="X299" s="2"/>
      <c r="AD299" s="2"/>
      <c r="AE299" s="2"/>
      <c r="AF299" s="2"/>
      <c r="AG299" s="2"/>
      <c r="AH299" s="33"/>
      <c r="AI299" s="2"/>
      <c r="AJ299" s="2"/>
      <c r="AK299" s="2"/>
      <c r="AL299" s="2"/>
      <c r="AM299" s="2"/>
      <c r="AN299" s="2"/>
      <c r="AO299" s="2"/>
      <c r="AP299" s="4"/>
      <c r="AQ299" s="4"/>
      <c r="AR299" s="4"/>
      <c r="AS299" s="4"/>
      <c r="AT299" s="4"/>
      <c r="AU299" s="4"/>
      <c r="AV299" s="4"/>
      <c r="AW299" s="4"/>
      <c r="AX299" s="4"/>
      <c r="AY299" s="4"/>
      <c r="AZ299" s="4"/>
    </row>
    <row r="300" spans="1:80" x14ac:dyDescent="0.3">
      <c r="A300" s="2"/>
      <c r="B300" s="2"/>
      <c r="C300" s="2"/>
      <c r="D300" s="2"/>
      <c r="E300" s="2"/>
      <c r="F300" s="2"/>
      <c r="G300" s="2"/>
      <c r="H300" s="2"/>
      <c r="I300" s="2"/>
      <c r="J300" s="2"/>
      <c r="K300" s="2"/>
      <c r="L300" s="98">
        <v>32</v>
      </c>
      <c r="M300" s="138">
        <v>2025</v>
      </c>
      <c r="N300" s="98" t="s">
        <v>3</v>
      </c>
      <c r="O300" s="27"/>
      <c r="P300" s="27"/>
      <c r="Q300" s="30">
        <f t="shared" si="114"/>
        <v>9569</v>
      </c>
      <c r="R300" s="30">
        <f t="shared" si="107"/>
        <v>2146.86057996</v>
      </c>
      <c r="S300" s="30">
        <f t="shared" si="108"/>
        <v>7078</v>
      </c>
      <c r="T300" s="30">
        <f t="shared" si="109"/>
        <v>2449</v>
      </c>
      <c r="U300" s="30">
        <f t="shared" si="110"/>
        <v>1979</v>
      </c>
      <c r="V300" s="30">
        <f t="shared" si="111"/>
        <v>2860.0665599999998</v>
      </c>
      <c r="W300" s="151">
        <f t="shared" si="112"/>
        <v>1.1731199999999999</v>
      </c>
      <c r="X300" s="27"/>
      <c r="AD300" s="2"/>
      <c r="AE300" s="2"/>
      <c r="AF300" s="2"/>
      <c r="AG300" s="2"/>
      <c r="AH300" s="2"/>
      <c r="AI300" s="2"/>
      <c r="AJ300" s="33"/>
      <c r="AK300" s="2"/>
      <c r="AL300" s="2"/>
      <c r="AM300" s="2"/>
      <c r="AN300" s="2"/>
      <c r="AO300" s="2"/>
      <c r="AP300" s="2"/>
      <c r="AQ300" s="2"/>
      <c r="AR300" s="4"/>
      <c r="AS300" s="4"/>
      <c r="AT300" s="4"/>
      <c r="AU300" s="4"/>
      <c r="AV300" s="4"/>
      <c r="AW300" s="4"/>
      <c r="AX300" s="4"/>
      <c r="AY300" s="4"/>
      <c r="AZ300" s="4"/>
    </row>
    <row r="301" spans="1:80" x14ac:dyDescent="0.3">
      <c r="L301" s="98">
        <v>33</v>
      </c>
      <c r="M301" s="138">
        <v>2025</v>
      </c>
      <c r="N301" s="98" t="s">
        <v>4</v>
      </c>
      <c r="O301" s="152"/>
      <c r="P301" s="152"/>
      <c r="Q301" s="30">
        <f t="shared" si="114"/>
        <v>9915.1</v>
      </c>
      <c r="R301" s="30">
        <f t="shared" si="107"/>
        <v>1820.8515969600001</v>
      </c>
      <c r="S301" s="30">
        <f t="shared" si="108"/>
        <v>7009</v>
      </c>
      <c r="T301" s="30">
        <f t="shared" si="109"/>
        <v>2466</v>
      </c>
      <c r="U301" s="30">
        <f t="shared" si="110"/>
        <v>2515</v>
      </c>
      <c r="V301" s="30">
        <f t="shared" si="111"/>
        <v>2863.8210800000002</v>
      </c>
      <c r="W301" s="151">
        <f t="shared" si="112"/>
        <v>1.17466</v>
      </c>
      <c r="Y301" s="2" t="s">
        <v>345</v>
      </c>
      <c r="Z301" s="2" t="s">
        <v>346</v>
      </c>
      <c r="AB301" s="2"/>
      <c r="AC301" s="2"/>
      <c r="AH301" s="6"/>
      <c r="AI301" s="7"/>
      <c r="AP301" s="6"/>
    </row>
    <row r="322" spans="23:25" x14ac:dyDescent="0.3">
      <c r="W322" s="2"/>
      <c r="X322" s="2"/>
      <c r="Y322" s="2"/>
    </row>
  </sheetData>
  <mergeCells count="2">
    <mergeCell ref="Y124:AE124"/>
    <mergeCell ref="V267:W267"/>
  </mergeCells>
  <dataValidations count="7">
    <dataValidation type="list" allowBlank="1" showInputMessage="1" showErrorMessage="1" sqref="W268" xr:uid="{5E1C0842-5CD7-496E-AE6D-D79DC84AD3EF}">
      <formula1>$CO$231:$CO$237</formula1>
    </dataValidation>
    <dataValidation type="list" allowBlank="1" showInputMessage="1" showErrorMessage="1" sqref="V268" xr:uid="{C75DA7C8-DBFE-4C4F-85A5-97A531A0EFB0}">
      <formula1>$CA$231:$CA$240</formula1>
    </dataValidation>
    <dataValidation type="list" allowBlank="1" showInputMessage="1" showErrorMessage="1" sqref="R268" xr:uid="{3A0CDD35-8FEB-4CF3-BE1B-53DFB8EC0FD1}">
      <formula1>$BB$231:$BB$234</formula1>
    </dataValidation>
    <dataValidation type="list" allowBlank="1" showInputMessage="1" showErrorMessage="1" sqref="U268" xr:uid="{68C91364-9D6B-4E60-AC02-923E6C58AFE7}">
      <formula1>$BK$231:$BK$242</formula1>
    </dataValidation>
    <dataValidation type="list" allowBlank="1" showInputMessage="1" showErrorMessage="1" sqref="T268" xr:uid="{A0BE8BEC-D434-454E-BA66-10BAB062DBC4}">
      <formula1>$AK$231:$AK$243</formula1>
    </dataValidation>
    <dataValidation type="list" allowBlank="1" showInputMessage="1" showErrorMessage="1" sqref="O268" xr:uid="{27031E39-8A3E-428D-A542-3D4939114763}">
      <formula1>$L$231:$L$240</formula1>
    </dataValidation>
    <dataValidation type="list" allowBlank="1" showInputMessage="1" showErrorMessage="1" sqref="S268" xr:uid="{C80CC9CC-AA49-4E35-A0A4-E8811662C761}">
      <formula1>$Z$231:$Z$237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 Series (STARBUCKS)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Hilmi</dc:creator>
  <cp:lastModifiedBy>Muhammad Hilmi</cp:lastModifiedBy>
  <dcterms:created xsi:type="dcterms:W3CDTF">2026-05-06T04:08:18Z</dcterms:created>
  <dcterms:modified xsi:type="dcterms:W3CDTF">2026-05-06T04:09:03Z</dcterms:modified>
</cp:coreProperties>
</file>